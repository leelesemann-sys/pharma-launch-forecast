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Marktdaten" sheetId="2" r:id="rId2"/>
    <sheet name="Forecast" sheetId="3" r:id="rId3"/>
    <sheet name="Dashboard" sheetId="4" r:id="rId4"/>
    <sheet name="Methodik" sheetId="5" r:id="rId5"/>
  </sheets>
  <calcPr calcId="124519" fullCalcOnLoad="1"/>
</workbook>
</file>

<file path=xl/sharedStrings.xml><?xml version="1.0" encoding="utf-8"?>
<sst xmlns="http://schemas.openxmlformats.org/spreadsheetml/2006/main" count="336" uniqueCount="283">
  <si>
    <t>Rx-to-OTC Switch - Forecast Modell</t>
  </si>
  <si>
    <t>Referenzfall: Omeprazol/Pantoprazol 20mg PPI Switch (DE 2009)</t>
  </si>
  <si>
    <t>1. PRODUKT &amp; MARKT</t>
  </si>
  <si>
    <t>Produktname</t>
  </si>
  <si>
    <t>Omeprazol 20mg (14 St.)</t>
  </si>
  <si>
    <t>OTC-Konfiguration: niedrige Dosis, kleine Packung</t>
  </si>
  <si>
    <t>Kategorie</t>
  </si>
  <si>
    <t>PPI (Protonenpumpeninhibitoren)</t>
  </si>
  <si>
    <t>ATC-Klasse</t>
  </si>
  <si>
    <t>Indikation</t>
  </si>
  <si>
    <t>Sodbrennen &amp; Reflux</t>
  </si>
  <si>
    <t>OTC-Indikation (eingeschraenkt vs. Rx)</t>
  </si>
  <si>
    <t>Geographie</t>
  </si>
  <si>
    <t>Deutschland</t>
  </si>
  <si>
    <t>Zielmarkt</t>
  </si>
  <si>
    <t>Switch-Datum</t>
  </si>
  <si>
    <t>2026</t>
  </si>
  <si>
    <t>Erstverkauf OTC</t>
  </si>
  <si>
    <t>Regulatorik</t>
  </si>
  <si>
    <t>Apothekenpflichtig (nicht freiverkaeuflich)</t>
  </si>
  <si>
    <t>BfArM Sachverstaendigenausschuss</t>
  </si>
  <si>
    <t>2. RX-KANAL (vor Switch)</t>
  </si>
  <si>
    <t>Rx-Packungen/Monat</t>
  </si>
  <si>
    <t>Monatliches Rx-Volumen (50 St. Packungen)</t>
  </si>
  <si>
    <t>Rx-Preis/Packung (Festbetrag, EUR)</t>
  </si>
  <si>
    <t>GKV-Erstattung (50 Tabletten)</t>
  </si>
  <si>
    <t>Patient Zuzahlung (EUR)</t>
  </si>
  <si>
    <t>Patienten-Eigenanteil bei Rx</t>
  </si>
  <si>
    <t>Rx-Abwanderung zu OTC (%)</t>
  </si>
  <si>
    <t>Anteil Rx-Volumen, das zu OTC migriert</t>
  </si>
  <si>
    <t>Abwanderungszeitraum (Monate)</t>
  </si>
  <si>
    <t>Monate bis Rx-Rueckgang stabilisiert</t>
  </si>
  <si>
    <t>3. OTC-KANAL</t>
  </si>
  <si>
    <t>OTC-Preis/Packung (EUR)</t>
  </si>
  <si>
    <t>Endverbraucherpreis (14 Tabletten)</t>
  </si>
  <si>
    <t>OTC Peak Packungen/Monat</t>
  </si>
  <si>
    <t>Maximal erreichbares OTC-Volumen</t>
  </si>
  <si>
    <t>Monate bis Peak</t>
  </si>
  <si>
    <t>Ramp-up-Dauer</t>
  </si>
  <si>
    <t>OTC-Packungsgroesse (Tabletten)</t>
  </si>
  <si>
    <t>Max. 14 St. fuer OTC PPI</t>
  </si>
  <si>
    <t>Neue Patienten (% des OTC-Vol.)</t>
  </si>
  <si>
    <t>Patienten, die nie Rx hatten (Marktexpansion)</t>
  </si>
  <si>
    <t>Preiselastizitaet</t>
  </si>
  <si>
    <t>1% Preiserhoehung = 0.8% Volumenrueckgang</t>
  </si>
  <si>
    <t>Preistrend p.a.</t>
  </si>
  <si>
    <t>Jaehrl. Preisveraenderung (Generika-Druck)</t>
  </si>
  <si>
    <t>4. MARKETING &amp; AWARENESS</t>
  </si>
  <si>
    <t>Marketing-Budget/Monat (EUR)</t>
  </si>
  <si>
    <t>TV, Digital, POS, Apotheken-Kooperationen</t>
  </si>
  <si>
    <t>Peak Awareness (%)</t>
  </si>
  <si>
    <t>Maximale Markenbekanntheit</t>
  </si>
  <si>
    <t>Awareness-Aufbau (Monate)</t>
  </si>
  <si>
    <t>S-Kurve bis Peak Awareness</t>
  </si>
  <si>
    <t>Trial Rate (%)</t>
  </si>
  <si>
    <t>% der bewussten Konsumenten, die kaufen</t>
  </si>
  <si>
    <t>Repeat Rate (%)</t>
  </si>
  <si>
    <t>% der Kaeufer, die wiederholt kaufen</t>
  </si>
  <si>
    <t>5. KOSTEN &amp; MARGEN</t>
  </si>
  <si>
    <t>COGS (% vom Umsatz)</t>
  </si>
  <si>
    <t>Herstellkosten</t>
  </si>
  <si>
    <t>Apothekenmarge (%)</t>
  </si>
  <si>
    <t>OTC: freie Preisgestaltung, ~40% Marge</t>
  </si>
  <si>
    <t>Distribution (%)</t>
  </si>
  <si>
    <t>Grosshandel + Logistik</t>
  </si>
  <si>
    <t>Herstelleranteil</t>
  </si>
  <si>
    <t>6. SAISONALITAET (PPI-typisch)</t>
  </si>
  <si>
    <t>Jan</t>
  </si>
  <si>
    <t>Feb</t>
  </si>
  <si>
    <t>Mrz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</si>
  <si>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</si>
  <si>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</si>
  <si>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</si>
  <si>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</si>
  <si>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</si>
  <si>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</si>
  <si>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</si>
  <si>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</si>
  <si>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</si>
  <si>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7. SZENARIO-DEFINITIONEN</t>
  </si>
  <si>
    <t>Parameter</t>
  </si>
  <si>
    <t>Konservativ</t>
  </si>
  <si>
    <t>Base Case</t>
  </si>
  <si>
    <t>Optimistisch</t>
  </si>
  <si>
    <t>OTC Peak Packungen/Mon.</t>
  </si>
  <si>
    <t>OTC Preis/Packung (EUR)</t>
  </si>
  <si>
    <t>Marketing/Monat (EUR)</t>
  </si>
  <si>
    <t>Rx-Abwanderung</t>
  </si>
  <si>
    <t>Neue Patienten (%)</t>
  </si>
  <si>
    <t>OTC-Markt Deutschland &amp; PPI-Landschaft</t>
  </si>
  <si>
    <t>OTC-Markt Deutschland (2024)</t>
  </si>
  <si>
    <t>OTC-Apothekenmarkt Umsatz</t>
  </si>
  <si>
    <t>10.15 Mrd. EUR (+7.1%)</t>
  </si>
  <si>
    <t>Selbstmedikationsmarkt gesamt</t>
  </si>
  <si>
    <t>13.8 Mrd. EUR (+7%)</t>
  </si>
  <si>
    <t>Packungen gesamt</t>
  </si>
  <si>
    <t>1.7 Mrd. (+3%)</t>
  </si>
  <si>
    <t>Groesster OTC-Markt in Europa</t>
  </si>
  <si>
    <t>Ja</t>
  </si>
  <si>
    <t>Versandhandel-Anteil</t>
  </si>
  <si>
    <t>~20% der Packungen, ~16% des Umsatzes</t>
  </si>
  <si>
    <t>Klassifizierung</t>
  </si>
  <si>
    <t>Verschreibungspflichtig &gt; Apothekenpflichtig &gt; Freiverkaeuflich</t>
  </si>
  <si>
    <t>PPI-Wettbewerbslandschaft (OTC)</t>
  </si>
  <si>
    <t>Produkt</t>
  </si>
  <si>
    <t>Hersteller</t>
  </si>
  <si>
    <t>OTC-Preis
(14 St.)</t>
  </si>
  <si>
    <t>Status</t>
  </si>
  <si>
    <t>Marktanteil
(OTC)</t>
  </si>
  <si>
    <t>Omeprazol-ratiopharm SK</t>
  </si>
  <si>
    <t>Ratiopharm/Teva</t>
  </si>
  <si>
    <t>Generikum</t>
  </si>
  <si>
    <t>Omep Hexal</t>
  </si>
  <si>
    <t>Hexal/Sandoz</t>
  </si>
  <si>
    <t>Pantozol Control</t>
  </si>
  <si>
    <t>Nycomed/Takeda</t>
  </si>
  <si>
    <t>Erstanbieter</t>
  </si>
  <si>
    <t>Pantoprazol-Generika</t>
  </si>
  <si>
    <t>Diverse</t>
  </si>
  <si>
    <t>Omeprazol AL</t>
  </si>
  <si>
    <t>Aliud/STADA</t>
  </si>
  <si>
    <t>Sonstige</t>
  </si>
  <si>
    <t>Kannibalisierte Kategorien</t>
  </si>
  <si>
    <t>Umsatz/Mon. (EUR)</t>
  </si>
  <si>
    <t>Kannibalis.
Peak</t>
  </si>
  <si>
    <t>Beispielprodukte</t>
  </si>
  <si>
    <t>Antazida</t>
  </si>
  <si>
    <t>Maaloxan, Rennie, Talcid</t>
  </si>
  <si>
    <t>H2-Rezeptor-Antagonisten</t>
  </si>
  <si>
    <t>Ranitic, Zantic (auslaufend)</t>
  </si>
  <si>
    <t>Pflanzliche Mittel</t>
  </si>
  <si>
    <t>Iberogast, Gaviscon</t>
  </si>
  <si>
    <t>Apotheken-Margenstruktur OTC</t>
  </si>
  <si>
    <t>Rx-Marge (reguliert)</t>
  </si>
  <si>
    <t>3% + EUR 8.35 Fixzuschlag/Packung (AMPreisV)</t>
  </si>
  <si>
    <t>OTC-Marge (FREI)</t>
  </si>
  <si>
    <t>Freie Preisgestaltung, typisch 40-60% Aufschlag</t>
  </si>
  <si>
    <t>Online-Apotheken</t>
  </si>
  <si>
    <t>20-40% guenstiger als stationaer</t>
  </si>
  <si>
    <t>Preisspanne Cetirizin 100 St.</t>
  </si>
  <si>
    <t>EUR 3.49 (Generikum) bis EUR 49.13 (Zyrtec)</t>
  </si>
  <si>
    <t>Rx-to-OTC Switch Forecast - Dual Channel (Base Case)</t>
  </si>
  <si>
    <t>OTC Umsatz Jahr 1</t>
  </si>
  <si>
    <t>Gesamtumsatz 5J</t>
  </si>
  <si>
    <t>Gewinn 5J</t>
  </si>
  <si>
    <t>OTC-Anteil M12</t>
  </si>
  <si>
    <t>OTC &gt; Rx ab</t>
  </si>
  <si>
    <t>–</t>
  </si>
  <si>
    <t>Monat</t>
  </si>
  <si>
    <t>Mon.
von Switch</t>
  </si>
  <si>
    <t>Rx
Pack.</t>
  </si>
  <si>
    <t>Rx
Umsatz (EUR)</t>
  </si>
  <si>
    <t>OTC
Pack.</t>
  </si>
  <si>
    <t>OTC Preis
(EUR)</t>
  </si>
  <si>
    <t>OTC Retail
Umsatz</t>
  </si>
  <si>
    <t>OTC Herst.
Umsatz</t>
  </si>
  <si>
    <t>OTC von
Neukunden</t>
  </si>
  <si>
    <t>OTC von
Rx-Migr.</t>
  </si>
  <si>
    <t>Awareness</t>
  </si>
  <si>
    <t>Saison</t>
  </si>
  <si>
    <t>Marketing
Spend</t>
  </si>
  <si>
    <t>Gesamt
Umsatz</t>
  </si>
  <si>
    <t>Oper.
Gewinn</t>
  </si>
  <si>
    <t>Kum.
Umsatz</t>
  </si>
  <si>
    <t>Kum.
Gewinn</t>
  </si>
  <si>
    <t>Executive Summary - Rx-to-OTC Switch Forecast</t>
  </si>
  <si>
    <t>Szenario-Vergleich</t>
  </si>
  <si>
    <t>Gesamtumsatz 5J (Rx+OTC)</t>
  </si>
  <si>
    <t>OTC Umsatz 5J</t>
  </si>
  <si>
    <t>Rx Umsatz 5J</t>
  </si>
  <si>
    <t>OTC-Anteil Monat 12 (Tabletten)</t>
  </si>
  <si>
    <t>OTC-Anteil Monat 24 (Tabletten)</t>
  </si>
  <si>
    <t>Rx-Rueckgang gesamt</t>
  </si>
  <si>
    <t>Peak Awareness</t>
  </si>
  <si>
    <t>Marketing-Invest 5J</t>
  </si>
  <si>
    <t>Kannibalisierung (Antazida etc.)</t>
  </si>
  <si>
    <t>Methodik &amp; Transparenz-Matrix</t>
  </si>
  <si>
    <t>Jeder Datenpunkt ist klassifiziert: FAKT / ANNAHME / MODELL / LUECKE</t>
  </si>
  <si>
    <t>Legende:</t>
  </si>
  <si>
    <t>FAKT</t>
  </si>
  <si>
    <t>Aus oeffentlichen Quellen ableitbar</t>
  </si>
  <si>
    <t>ANNAHME</t>
  </si>
  <si>
    <t>Vom User steuerbar (gelbe Zellen)</t>
  </si>
  <si>
    <t>MODELL</t>
  </si>
  <si>
    <t>Mathematisches Modell</t>
  </si>
  <si>
    <t>LUECKE</t>
  </si>
  <si>
    <t>Fuer Produktiveinsatz benoetigt</t>
  </si>
  <si>
    <t>FAKTEN</t>
  </si>
  <si>
    <t>Datenpunkt</t>
  </si>
  <si>
    <t>Wert</t>
  </si>
  <si>
    <t>Quelle</t>
  </si>
  <si>
    <t>OTC-Markt DE 2024</t>
  </si>
  <si>
    <t>10.15 Mrd. EUR</t>
  </si>
  <si>
    <t>IQVIA / Pharma Deutschland</t>
  </si>
  <si>
    <t>PPI OTC-Switch Datum</t>
  </si>
  <si>
    <t>Juli 2009 (Pantoprazol), Aug 2009 (Omeprazol)</t>
  </si>
  <si>
    <t>OTC-PPI Jahr 1 Volumen</t>
  </si>
  <si>
    <t>3.3 Mio. Packungen, 29 Mio. EUR</t>
  </si>
  <si>
    <t>IQVIA / Apotheke Adhoc</t>
  </si>
  <si>
    <t>OTC-PPI Anteil am PPI-Gesamtmarkt</t>
  </si>
  <si>
    <t>~3% (Partial Switch)</t>
  </si>
  <si>
    <t>IQVIA / PMC-Studie</t>
  </si>
  <si>
    <t>Antazida-Kannibalisierung</t>
  </si>
  <si>
    <t>-11 Mio. EUR im ersten Jahr</t>
  </si>
  <si>
    <t>H2-Antagonisten-Kollaps</t>
  </si>
  <si>
    <t>-46% im ersten Jahr nach PPI OTC</t>
  </si>
  <si>
    <t>OTC-PPI Packungsgroesse</t>
  </si>
  <si>
    <t>Max. 14 Tabletten, 20mg</t>
  </si>
  <si>
    <t>AMPreisV / BfArM</t>
  </si>
  <si>
    <t>Apothekenmarge OTC</t>
  </si>
  <si>
    <t>Freie Preisgestaltung (nicht reguliert)</t>
  </si>
  <si>
    <t>AMPreisV</t>
  </si>
  <si>
    <t>BfArM Switch-Prozess</t>
  </si>
  <si>
    <t>2x jaehrlich, Sachverstaendigenausschuss</t>
  </si>
  <si>
    <t>BfArM</t>
  </si>
  <si>
    <t>ANNAHMEN</t>
  </si>
  <si>
    <t>Default</t>
  </si>
  <si>
    <t>Begruendung</t>
  </si>
  <si>
    <t>OTC Peak Volumen</t>
  </si>
  <si>
    <t>280K Pack./Mon.</t>
  </si>
  <si>
    <t>Hochrechnung aus hist. PPI-Daten (3.3M/Jahr = 275K/Mon.)</t>
  </si>
  <si>
    <t>15%</t>
  </si>
  <si>
    <t>Partial Switch: OTC nur 14 St./20mg, Rx fuer chronisch</t>
  </si>
  <si>
    <t>Neue Patienten</t>
  </si>
  <si>
    <t>70%</t>
  </si>
  <si>
    <t>Referenz: 11.9% Marktexpansion Sodbrennen nach PPI OTC</t>
  </si>
  <si>
    <t>OTC-Preis</t>
  </si>
  <si>
    <t>EUR 7.99</t>
  </si>
  <si>
    <t>Marktdurchschnitt Omeprazol-Generika OTC (14 St.)</t>
  </si>
  <si>
    <t>Apothekenmarge</t>
  </si>
  <si>
    <t>40%</t>
  </si>
  <si>
    <t>Branchenueblich OTC, Spanne 35-60%</t>
  </si>
  <si>
    <t>Marketing-Budget</t>
  </si>
  <si>
    <t>EUR 300K/Mon.</t>
  </si>
  <si>
    <t>Firmenspezifisch, Benchmark: Orlistat EUR 12.5M/Jahr</t>
  </si>
  <si>
    <t>65%</t>
  </si>
  <si>
    <t>Gutes OTC-Marketing; Benchmark: Voltaren ~85%, Orlistat ~45%</t>
  </si>
  <si>
    <t>Saisonalitaet</t>
  </si>
  <si>
    <t>PPI: Herbst/Winter-Peak</t>
  </si>
  <si>
    <t>GI-Beschwerden haeufiger in kalter Jahreszeit</t>
  </si>
  <si>
    <t>MODELLE</t>
  </si>
  <si>
    <t>Modell</t>
  </si>
  <si>
    <t>Formel / Logik</t>
  </si>
  <si>
    <t>Referenz</t>
  </si>
  <si>
    <t>OTC-Ramp (S-Kurve)</t>
  </si>
  <si>
    <t>Logistic: Peak / (1 + e^(-s*(t-midpoint)))</t>
  </si>
  <si>
    <t>Standard Launch-Curve; PPI stagnierte nach 3 Monaten</t>
  </si>
  <si>
    <t>Rx-Decline</t>
  </si>
  <si>
    <t>Exponential Decay: Floor + (Init-Floor) * e^(-k*t)</t>
  </si>
  <si>
    <t>Partial Switch: 97% blieb auf Rx bei PPI</t>
  </si>
  <si>
    <t>Awareness-Kurve</t>
  </si>
  <si>
    <t>Logistic S-Curve: 0 -&gt; Peak ueber Ramp-Monate</t>
  </si>
  <si>
    <t>Marketing-Funnel: Awareness -&gt; Trial -&gt; Repeat</t>
  </si>
  <si>
    <t>Vol(t) = Base * (1 + PriceChange * Elasticity)</t>
  </si>
  <si>
    <t>OTC: Patient zahlt 100%, preissensitiv</t>
  </si>
  <si>
    <t>Monatsfaktoren (0.85-1.15) auf OTC-Nachfrage</t>
  </si>
  <si>
    <t>PPI: GI-Beschwerden saisonal</t>
  </si>
  <si>
    <t>Kannibalisierung</t>
  </si>
  <si>
    <t>Adjacent_Rev * Cannibalization_Rate, linear ramp</t>
  </si>
  <si>
    <t>Antazida -11M EUR, H2-Blocker -46% nach PPI Switch</t>
  </si>
  <si>
    <t>LUECKEN</t>
  </si>
  <si>
    <t>Gap</t>
  </si>
  <si>
    <t>Beschreibung</t>
  </si>
  <si>
    <t>Datenquelle</t>
  </si>
  <si>
    <t>Echte IQVIA OTC-Daten</t>
  </si>
  <si>
    <t>Sell-out Packungen pro Monat pro PPI-Produkt</t>
  </si>
  <si>
    <t>IQVIA OTC Insight</t>
  </si>
  <si>
    <t>Apotheken-Panel</t>
  </si>
  <si>
    <t>Tatsaechliche Empfehlungsrate durch Apotheker</t>
  </si>
  <si>
    <t>IQVIA / GfK Panel</t>
  </si>
  <si>
    <t>Consumer-Tracking</t>
  </si>
  <si>
    <t>Awareness, Trial, Repeat auf Produktebene</t>
  </si>
  <si>
    <t>GfK / Nielsen Consumer Panel</t>
  </si>
  <si>
    <t>Marketing-ROI</t>
  </si>
  <si>
    <t>Tatsaechliche Wirkung von TV/Digital/POS</t>
  </si>
  <si>
    <t>Mediaagenturen / Tracking</t>
  </si>
  <si>
    <t>Preiselastizitaet (gemessen)</t>
  </si>
  <si>
    <t>Tatsaechliche Preissensitivitaet pro Kategorie</t>
  </si>
  <si>
    <t>Conjoint-Analyse / Scanner-Daten</t>
  </si>
  <si>
    <t>Versandhandel-Shift</t>
  </si>
  <si>
    <t>OTC-Anteil Online vs. stationaer ueber Zeit</t>
  </si>
  <si>
    <t>SEMPORA / Apothekenverband</t>
  </si>
  <si>
    <t>Hinweis: Alle Daten sind synthetisch. Angelehnt an Omeprazol/Pantoprazol OTC-Switch 2009, IQVIA OTC-Markt 2024, Pharma Deutschland. Kein Bezug zu vertraulichen Daten.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</si>
</sst>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€#,##0.00"/>
    <numFmt numFmtId="166" formatCode="0.0%"/>
    <numFmt numFmtId="167" formatCode="€#,##0"/>
    <numFmt numFmtId="168" formatCode="0.00"/>
  </numFmts>
  <fonts count="13">
    <font>
      <sz val="11"/>
      <color theme="1"/>
      <name val="Calibri"/>
      <family val="2"/>
      <scheme val="minor"/>
    </font>
    <font>
      <b/>
      <sz val="16"/>
      <color rgb="FF1E3A5F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2"/>
      <color rgb="FF1E3A5F"/>
      <name val="Calibri"/>
      <family val="2"/>
      <scheme val="minor"/>
    </font>
    <font>
      <b/>
      <sz val="10"/>
      <color rgb="FF374151"/>
      <name val="Calibri"/>
      <family val="2"/>
      <scheme val="minor"/>
    </font>
    <font>
      <b/>
      <sz val="11"/>
      <color rgb="FF1A237E"/>
      <name val="Calibri"/>
      <family val="2"/>
      <scheme val="minor"/>
    </font>
    <font>
      <i/>
      <sz val="9"/>
      <color rgb="FF9CA3A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4"/>
      <color rgb="FF134E4A"/>
      <name val="Calibri"/>
      <family val="2"/>
      <scheme val="minor"/>
    </font>
    <font>
      <b/>
      <sz val="14"/>
      <color rgb="FF1E3A5F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134E4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2F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E3A5F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E0B800"/>
      </left>
      <right style="thin">
        <color rgb="FFE0B800"/>
      </right>
      <top style="thin">
        <color rgb="FFE0B800"/>
      </top>
      <bottom style="thin">
        <color rgb="FFE0B8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  <xf numFmtId="0" fontId="4" fillId="0" borderId="0" xfId="0" applyFont="1" applyAlignment="1">
      <alignment vertical="center"/>
    </xf>
    <xf numFmtId="0" fontId="5" fillId="3" borderId="3" xfId="0" applyFont="1" applyFill="1" applyBorder="1"/>
    <xf numFmtId="0" fontId="6" fillId="0" borderId="0" xfId="0" applyFont="1" applyAlignment="1">
      <alignment vertical="center" wrapText="1"/>
    </xf>
    <xf numFmtId="164" fontId="5" fillId="3" borderId="3" xfId="0" applyNumberFormat="1" applyFont="1" applyFill="1" applyBorder="1"/>
    <xf numFmtId="165" fontId="5" fillId="3" borderId="3" xfId="0" applyNumberFormat="1" applyFont="1" applyFill="1" applyBorder="1"/>
    <xf numFmtId="166" fontId="5" fillId="3" borderId="3" xfId="0" applyNumberFormat="1" applyFont="1" applyFill="1" applyBorder="1"/>
    <xf numFmtId="0" fontId="7" fillId="4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9" fillId="5" borderId="4" xfId="0" applyFont="1" applyFill="1" applyBorder="1"/>
    <xf numFmtId="167" fontId="10" fillId="6" borderId="4" xfId="0" applyNumberFormat="1" applyFont="1" applyFill="1" applyBorder="1" applyAlignment="1">
      <alignment horizontal="center"/>
    </xf>
    <xf numFmtId="167" fontId="11" fillId="5" borderId="4" xfId="0" applyNumberFormat="1" applyFont="1" applyFill="1" applyBorder="1" applyAlignment="1">
      <alignment horizontal="center"/>
    </xf>
    <xf numFmtId="166" fontId="10" fillId="7" borderId="4" xfId="0" applyNumberFormat="1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 vertical="center" wrapText="1"/>
    </xf>
    <xf numFmtId="164" fontId="0" fillId="0" borderId="0" xfId="0" applyNumberFormat="1"/>
    <xf numFmtId="168" fontId="0" fillId="0" borderId="0" xfId="0" applyNumberFormat="1"/>
    <xf numFmtId="0" fontId="0" fillId="9" borderId="0" xfId="0" applyFill="1"/>
    <xf numFmtId="164" fontId="0" fillId="9" borderId="0" xfId="0" applyNumberFormat="1" applyFill="1"/>
    <xf numFmtId="167" fontId="0" fillId="9" borderId="0" xfId="0" applyNumberFormat="1" applyFill="1"/>
    <xf numFmtId="166" fontId="0" fillId="9" borderId="0" xfId="0" applyNumberFormat="1" applyFill="1"/>
    <xf numFmtId="168" fontId="0" fillId="9" borderId="0" xfId="0" applyNumberFormat="1" applyFill="1"/>
    <xf numFmtId="0" fontId="12" fillId="10" borderId="4" xfId="0" applyFont="1" applyFill="1" applyBorder="1" applyAlignment="1">
      <alignment vertical="center" wrapText="1"/>
    </xf>
    <xf numFmtId="0" fontId="12" fillId="3" borderId="4" xfId="0" applyFont="1" applyFill="1" applyBorder="1" applyAlignment="1">
      <alignment vertical="center" wrapText="1"/>
    </xf>
    <xf numFmtId="0" fontId="12" fillId="11" borderId="4" xfId="0" applyFont="1" applyFill="1" applyBorder="1" applyAlignment="1">
      <alignment vertical="center" wrapText="1"/>
    </xf>
    <xf numFmtId="0" fontId="12" fillId="1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Dual-Kanal: Rx vs. OTC Packungen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 Packungen</c:v>
          </c:tx>
          <c:spPr>
            <a:ln w="31750">
              <a:solidFill>
                <a:srgbClr val="2563EB"/>
              </a:solidFill>
            </a:ln>
          </c:spPr>
          <c:marker>
            <c:symbol val="none"/>
          </c:marker>
          <c:cat>
            <c:numRef>
              <c:f>Forecast!$B$9:$B$68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Forecast!$D$9:$D$68</c:f>
              <c:numCache>
                <c:formatCode>General</c:formatCode>
                <c:ptCount val="60"/>
                <c:pt idx="0">
                  <c:v>349646</c:v>
                </c:pt>
                <c:pt idx="1">
                  <c:v>349294</c:v>
                </c:pt>
                <c:pt idx="2">
                  <c:v>348944</c:v>
                </c:pt>
                <c:pt idx="3">
                  <c:v>348597</c:v>
                </c:pt>
                <c:pt idx="4">
                  <c:v>348252</c:v>
                </c:pt>
                <c:pt idx="5">
                  <c:v>347910</c:v>
                </c:pt>
                <c:pt idx="6">
                  <c:v>347569</c:v>
                </c:pt>
                <c:pt idx="7">
                  <c:v>347232</c:v>
                </c:pt>
                <c:pt idx="8">
                  <c:v>346896</c:v>
                </c:pt>
                <c:pt idx="9">
                  <c:v>346563</c:v>
                </c:pt>
                <c:pt idx="10">
                  <c:v>346231</c:v>
                </c:pt>
                <c:pt idx="11">
                  <c:v>345903</c:v>
                </c:pt>
                <c:pt idx="12">
                  <c:v>345576</c:v>
                </c:pt>
                <c:pt idx="13">
                  <c:v>345251</c:v>
                </c:pt>
                <c:pt idx="14">
                  <c:v>344929</c:v>
                </c:pt>
                <c:pt idx="15">
                  <c:v>344609</c:v>
                </c:pt>
                <c:pt idx="16">
                  <c:v>344291</c:v>
                </c:pt>
                <c:pt idx="17">
                  <c:v>343975</c:v>
                </c:pt>
                <c:pt idx="18">
                  <c:v>343662</c:v>
                </c:pt>
                <c:pt idx="19">
                  <c:v>343350</c:v>
                </c:pt>
                <c:pt idx="20">
                  <c:v>343041</c:v>
                </c:pt>
                <c:pt idx="21">
                  <c:v>342733</c:v>
                </c:pt>
                <c:pt idx="22">
                  <c:v>342428</c:v>
                </c:pt>
                <c:pt idx="23">
                  <c:v>342125</c:v>
                </c:pt>
                <c:pt idx="24">
                  <c:v>341824</c:v>
                </c:pt>
                <c:pt idx="25">
                  <c:v>341525</c:v>
                </c:pt>
                <c:pt idx="26">
                  <c:v>341228</c:v>
                </c:pt>
                <c:pt idx="27">
                  <c:v>340932</c:v>
                </c:pt>
                <c:pt idx="28">
                  <c:v>340639</c:v>
                </c:pt>
                <c:pt idx="29">
                  <c:v>340348</c:v>
                </c:pt>
                <c:pt idx="30">
                  <c:v>340059</c:v>
                </c:pt>
                <c:pt idx="31">
                  <c:v>339772</c:v>
                </c:pt>
                <c:pt idx="32">
                  <c:v>339487</c:v>
                </c:pt>
                <c:pt idx="33">
                  <c:v>339203</c:v>
                </c:pt>
                <c:pt idx="34">
                  <c:v>338922</c:v>
                </c:pt>
                <c:pt idx="35">
                  <c:v>338642</c:v>
                </c:pt>
                <c:pt idx="36">
                  <c:v>338365</c:v>
                </c:pt>
                <c:pt idx="37">
                  <c:v>338089</c:v>
                </c:pt>
                <c:pt idx="38">
                  <c:v>337815</c:v>
                </c:pt>
                <c:pt idx="39">
                  <c:v>337543</c:v>
                </c:pt>
                <c:pt idx="40">
                  <c:v>337273</c:v>
                </c:pt>
                <c:pt idx="41">
                  <c:v>337004</c:v>
                </c:pt>
                <c:pt idx="42">
                  <c:v>336738</c:v>
                </c:pt>
                <c:pt idx="43">
                  <c:v>336473</c:v>
                </c:pt>
                <c:pt idx="44">
                  <c:v>336210</c:v>
                </c:pt>
                <c:pt idx="45">
                  <c:v>335948</c:v>
                </c:pt>
                <c:pt idx="46">
                  <c:v>335689</c:v>
                </c:pt>
                <c:pt idx="47">
                  <c:v>335431</c:v>
                </c:pt>
                <c:pt idx="48">
                  <c:v>335175</c:v>
                </c:pt>
                <c:pt idx="49">
                  <c:v>334921</c:v>
                </c:pt>
                <c:pt idx="50">
                  <c:v>334668</c:v>
                </c:pt>
                <c:pt idx="51">
                  <c:v>334418</c:v>
                </c:pt>
                <c:pt idx="52">
                  <c:v>334168</c:v>
                </c:pt>
                <c:pt idx="53">
                  <c:v>333921</c:v>
                </c:pt>
                <c:pt idx="54">
                  <c:v>333675</c:v>
                </c:pt>
                <c:pt idx="55">
                  <c:v>333431</c:v>
                </c:pt>
                <c:pt idx="56">
                  <c:v>333189</c:v>
                </c:pt>
                <c:pt idx="57">
                  <c:v>332948</c:v>
                </c:pt>
                <c:pt idx="58">
                  <c:v>332708</c:v>
                </c:pt>
                <c:pt idx="59">
                  <c:v>332471</c:v>
                </c:pt>
              </c:numCache>
            </c:numRef>
          </c:val>
        </c:ser>
        <c:ser>
          <c:idx val="1"/>
          <c:order val="1"/>
          <c:tx>
            <c:v>OTC Packungen</c:v>
          </c:tx>
          <c:spPr>
            <a:ln w="31750">
              <a:solidFill>
                <a:srgbClr val="0D9488"/>
              </a:solidFill>
            </a:ln>
          </c:spPr>
          <c:marker>
            <c:symbol val="none"/>
          </c:marker>
          <c:cat>
            <c:numRef>
              <c:f>Forecast!$B$9:$B$68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Forecast!$F$9:$F$68</c:f>
              <c:numCache>
                <c:formatCode>General</c:formatCode>
                <c:ptCount val="60"/>
                <c:pt idx="0">
                  <c:v>2164</c:v>
                </c:pt>
                <c:pt idx="1">
                  <c:v>3293</c:v>
                </c:pt>
                <c:pt idx="2">
                  <c:v>7525</c:v>
                </c:pt>
                <c:pt idx="3">
                  <c:v>16149</c:v>
                </c:pt>
                <c:pt idx="4">
                  <c:v>29324</c:v>
                </c:pt>
                <c:pt idx="5">
                  <c:v>46825</c:v>
                </c:pt>
                <c:pt idx="6">
                  <c:v>68410</c:v>
                </c:pt>
                <c:pt idx="7">
                  <c:v>91544</c:v>
                </c:pt>
                <c:pt idx="8">
                  <c:v>133080</c:v>
                </c:pt>
                <c:pt idx="9">
                  <c:v>179579</c:v>
                </c:pt>
                <c:pt idx="10">
                  <c:v>218740</c:v>
                </c:pt>
                <c:pt idx="11">
                  <c:v>234247</c:v>
                </c:pt>
                <c:pt idx="12">
                  <c:v>208197</c:v>
                </c:pt>
                <c:pt idx="13">
                  <c:v>208858</c:v>
                </c:pt>
                <c:pt idx="14">
                  <c:v>243887</c:v>
                </c:pt>
                <c:pt idx="15">
                  <c:v>278272</c:v>
                </c:pt>
                <c:pt idx="16">
                  <c:v>284781</c:v>
                </c:pt>
                <c:pt idx="17">
                  <c:v>275837</c:v>
                </c:pt>
                <c:pt idx="18">
                  <c:v>265317</c:v>
                </c:pt>
                <c:pt idx="19">
                  <c:v>253680</c:v>
                </c:pt>
                <c:pt idx="20">
                  <c:v>283830</c:v>
                </c:pt>
                <c:pt idx="21">
                  <c:v>313877</c:v>
                </c:pt>
                <c:pt idx="22">
                  <c:v>329512</c:v>
                </c:pt>
                <c:pt idx="23">
                  <c:v>316238</c:v>
                </c:pt>
                <c:pt idx="24">
                  <c:v>259453</c:v>
                </c:pt>
                <c:pt idx="25">
                  <c:v>245610</c:v>
                </c:pt>
                <c:pt idx="26">
                  <c:v>275063</c:v>
                </c:pt>
                <c:pt idx="27">
                  <c:v>304570</c:v>
                </c:pt>
                <c:pt idx="28">
                  <c:v>305077</c:v>
                </c:pt>
                <c:pt idx="29">
                  <c:v>291002</c:v>
                </c:pt>
                <c:pt idx="30">
                  <c:v>276860</c:v>
                </c:pt>
                <c:pt idx="31">
                  <c:v>262660</c:v>
                </c:pt>
                <c:pt idx="32">
                  <c:v>292247</c:v>
                </c:pt>
                <c:pt idx="33">
                  <c:v>321905</c:v>
                </c:pt>
                <c:pt idx="34">
                  <c:v>336984</c:v>
                </c:pt>
                <c:pt idx="35">
                  <c:v>322754</c:v>
                </c:pt>
                <c:pt idx="36">
                  <c:v>264415</c:v>
                </c:pt>
                <c:pt idx="37">
                  <c:v>250047</c:v>
                </c:pt>
                <c:pt idx="38">
                  <c:v>279823</c:v>
                </c:pt>
                <c:pt idx="39">
                  <c:v>309673</c:v>
                </c:pt>
                <c:pt idx="40">
                  <c:v>310067</c:v>
                </c:pt>
                <c:pt idx="41">
                  <c:v>295676</c:v>
                </c:pt>
                <c:pt idx="42">
                  <c:v>281248</c:v>
                </c:pt>
                <c:pt idx="43">
                  <c:v>266782</c:v>
                </c:pt>
                <c:pt idx="44">
                  <c:v>296799</c:v>
                </c:pt>
                <c:pt idx="45">
                  <c:v>326890</c:v>
                </c:pt>
                <c:pt idx="46">
                  <c:v>342178</c:v>
                </c:pt>
                <c:pt idx="47">
                  <c:v>327711</c:v>
                </c:pt>
                <c:pt idx="48">
                  <c:v>268464</c:v>
                </c:pt>
                <c:pt idx="49">
                  <c:v>253866</c:v>
                </c:pt>
                <c:pt idx="50">
                  <c:v>284088</c:v>
                </c:pt>
                <c:pt idx="51">
                  <c:v>314384</c:v>
                </c:pt>
                <c:pt idx="52">
                  <c:v>314776</c:v>
                </c:pt>
                <c:pt idx="53">
                  <c:v>300160</c:v>
                </c:pt>
                <c:pt idx="54">
                  <c:v>285507</c:v>
                </c:pt>
                <c:pt idx="55">
                  <c:v>270816</c:v>
                </c:pt>
                <c:pt idx="56">
                  <c:v>301280</c:v>
                </c:pt>
                <c:pt idx="57">
                  <c:v>331819</c:v>
                </c:pt>
                <c:pt idx="58">
                  <c:v>347331</c:v>
                </c:pt>
                <c:pt idx="59">
                  <c:v>332640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Packungen / Monat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Umsatz nach Kanal (monatlich)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Rx Umsatz</c:v>
          </c:tx>
          <c:spPr>
            <a:solidFill>
              <a:srgbClr val="93C5FD"/>
            </a:solidFill>
          </c:spPr>
          <c:cat>
            <c:numRef>
              <c:f>Forecast!$B$9:$B$68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Forecast!$E$9:$E$68</c:f>
              <c:numCache>
                <c:formatCode>General</c:formatCode>
                <c:ptCount val="60"/>
                <c:pt idx="0">
                  <c:v>5940480</c:v>
                </c:pt>
                <c:pt idx="1">
                  <c:v>5934501</c:v>
                </c:pt>
                <c:pt idx="2">
                  <c:v>5928562</c:v>
                </c:pt>
                <c:pt idx="3">
                  <c:v>5922664</c:v>
                </c:pt>
                <c:pt idx="4">
                  <c:v>5916805</c:v>
                </c:pt>
                <c:pt idx="5">
                  <c:v>5910986</c:v>
                </c:pt>
                <c:pt idx="6">
                  <c:v>5905206</c:v>
                </c:pt>
                <c:pt idx="7">
                  <c:v>5899465</c:v>
                </c:pt>
                <c:pt idx="8">
                  <c:v>5893762</c:v>
                </c:pt>
                <c:pt idx="9">
                  <c:v>5888099</c:v>
                </c:pt>
                <c:pt idx="10">
                  <c:v>5882473</c:v>
                </c:pt>
                <c:pt idx="11">
                  <c:v>5876885</c:v>
                </c:pt>
                <c:pt idx="12">
                  <c:v>5871335</c:v>
                </c:pt>
                <c:pt idx="13">
                  <c:v>5865823</c:v>
                </c:pt>
                <c:pt idx="14">
                  <c:v>5860348</c:v>
                </c:pt>
                <c:pt idx="15">
                  <c:v>5854909</c:v>
                </c:pt>
                <c:pt idx="16">
                  <c:v>5849508</c:v>
                </c:pt>
                <c:pt idx="17">
                  <c:v>5844143</c:v>
                </c:pt>
                <c:pt idx="18">
                  <c:v>5838814</c:v>
                </c:pt>
                <c:pt idx="19">
                  <c:v>5833521</c:v>
                </c:pt>
                <c:pt idx="20">
                  <c:v>5828264</c:v>
                </c:pt>
                <c:pt idx="21">
                  <c:v>5823042</c:v>
                </c:pt>
                <c:pt idx="22">
                  <c:v>5817855</c:v>
                </c:pt>
                <c:pt idx="23">
                  <c:v>5812704</c:v>
                </c:pt>
                <c:pt idx="24">
                  <c:v>5807587</c:v>
                </c:pt>
                <c:pt idx="25">
                  <c:v>5802505</c:v>
                </c:pt>
                <c:pt idx="26">
                  <c:v>5797457</c:v>
                </c:pt>
                <c:pt idx="27">
                  <c:v>5792443</c:v>
                </c:pt>
                <c:pt idx="28">
                  <c:v>5787463</c:v>
                </c:pt>
                <c:pt idx="29">
                  <c:v>5782517</c:v>
                </c:pt>
                <c:pt idx="30">
                  <c:v>5777604</c:v>
                </c:pt>
                <c:pt idx="31">
                  <c:v>5772724</c:v>
                </c:pt>
                <c:pt idx="32">
                  <c:v>5767877</c:v>
                </c:pt>
                <c:pt idx="33">
                  <c:v>5763062</c:v>
                </c:pt>
                <c:pt idx="34">
                  <c:v>5758281</c:v>
                </c:pt>
                <c:pt idx="35">
                  <c:v>5753531</c:v>
                </c:pt>
                <c:pt idx="36">
                  <c:v>5748814</c:v>
                </c:pt>
                <c:pt idx="37">
                  <c:v>5744128</c:v>
                </c:pt>
                <c:pt idx="38">
                  <c:v>5739474</c:v>
                </c:pt>
                <c:pt idx="39">
                  <c:v>5734852</c:v>
                </c:pt>
                <c:pt idx="40">
                  <c:v>5730260</c:v>
                </c:pt>
                <c:pt idx="41">
                  <c:v>5725700</c:v>
                </c:pt>
                <c:pt idx="42">
                  <c:v>5721170</c:v>
                </c:pt>
                <c:pt idx="43">
                  <c:v>5716671</c:v>
                </c:pt>
                <c:pt idx="44">
                  <c:v>5712203</c:v>
                </c:pt>
                <c:pt idx="45">
                  <c:v>5707764</c:v>
                </c:pt>
                <c:pt idx="46">
                  <c:v>5703356</c:v>
                </c:pt>
                <c:pt idx="47">
                  <c:v>5698977</c:v>
                </c:pt>
                <c:pt idx="48">
                  <c:v>5694628</c:v>
                </c:pt>
                <c:pt idx="49">
                  <c:v>5690308</c:v>
                </c:pt>
                <c:pt idx="50">
                  <c:v>5686017</c:v>
                </c:pt>
                <c:pt idx="51">
                  <c:v>5681755</c:v>
                </c:pt>
                <c:pt idx="52">
                  <c:v>5677522</c:v>
                </c:pt>
                <c:pt idx="53">
                  <c:v>5673318</c:v>
                </c:pt>
                <c:pt idx="54">
                  <c:v>5669142</c:v>
                </c:pt>
                <c:pt idx="55">
                  <c:v>5664994</c:v>
                </c:pt>
                <c:pt idx="56">
                  <c:v>5660874</c:v>
                </c:pt>
                <c:pt idx="57">
                  <c:v>5656782</c:v>
                </c:pt>
                <c:pt idx="58">
                  <c:v>5652717</c:v>
                </c:pt>
                <c:pt idx="59">
                  <c:v>5648680</c:v>
                </c:pt>
              </c:numCache>
            </c:numRef>
          </c:val>
        </c:ser>
        <c:ser>
          <c:idx val="1"/>
          <c:order val="1"/>
          <c:tx>
            <c:v>OTC Umsatz (Hersteller)</c:v>
          </c:tx>
          <c:spPr>
            <a:solidFill>
              <a:srgbClr val="5EEAD4"/>
            </a:solidFill>
          </c:spPr>
          <c:cat>
            <c:numRef>
              <c:f>Forecast!$B$9:$B$68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Forecast!$I$9:$I$68</c:f>
              <c:numCache>
                <c:formatCode>General</c:formatCode>
                <c:ptCount val="60"/>
                <c:pt idx="0">
                  <c:v>8975</c:v>
                </c:pt>
                <c:pt idx="1">
                  <c:v>13634</c:v>
                </c:pt>
                <c:pt idx="2">
                  <c:v>31109</c:v>
                </c:pt>
                <c:pt idx="3">
                  <c:v>66646</c:v>
                </c:pt>
                <c:pt idx="4">
                  <c:v>120814</c:v>
                </c:pt>
                <c:pt idx="5">
                  <c:v>192595</c:v>
                </c:pt>
                <c:pt idx="6">
                  <c:v>280899</c:v>
                </c:pt>
                <c:pt idx="7">
                  <c:v>375261</c:v>
                </c:pt>
                <c:pt idx="8">
                  <c:v>544606</c:v>
                </c:pt>
                <c:pt idx="9">
                  <c:v>733658</c:v>
                </c:pt>
                <c:pt idx="10">
                  <c:v>892147</c:v>
                </c:pt>
                <c:pt idx="11">
                  <c:v>953786</c:v>
                </c:pt>
                <c:pt idx="12">
                  <c:v>846291</c:v>
                </c:pt>
                <c:pt idx="13">
                  <c:v>847550</c:v>
                </c:pt>
                <c:pt idx="14">
                  <c:v>988034</c:v>
                </c:pt>
                <c:pt idx="15">
                  <c:v>1125435</c:v>
                </c:pt>
                <c:pt idx="16">
                  <c:v>1149825</c:v>
                </c:pt>
                <c:pt idx="17">
                  <c:v>1111840</c:v>
                </c:pt>
                <c:pt idx="18">
                  <c:v>1067638</c:v>
                </c:pt>
                <c:pt idx="19">
                  <c:v>1019093</c:v>
                </c:pt>
                <c:pt idx="20">
                  <c:v>1138292</c:v>
                </c:pt>
                <c:pt idx="21">
                  <c:v>1256677</c:v>
                </c:pt>
                <c:pt idx="22">
                  <c:v>1317056</c:v>
                </c:pt>
                <c:pt idx="23">
                  <c:v>1261876</c:v>
                </c:pt>
                <c:pt idx="24">
                  <c:v>1033544</c:v>
                </c:pt>
                <c:pt idx="25">
                  <c:v>976756</c:v>
                </c:pt>
                <c:pt idx="26">
                  <c:v>1092047</c:v>
                </c:pt>
                <c:pt idx="27">
                  <c:v>1207160</c:v>
                </c:pt>
                <c:pt idx="28">
                  <c:v>1207136</c:v>
                </c:pt>
                <c:pt idx="29">
                  <c:v>1149505</c:v>
                </c:pt>
                <c:pt idx="30">
                  <c:v>1091802</c:v>
                </c:pt>
                <c:pt idx="31">
                  <c:v>1034064</c:v>
                </c:pt>
                <c:pt idx="32">
                  <c:v>1148608</c:v>
                </c:pt>
                <c:pt idx="33">
                  <c:v>1263044</c:v>
                </c:pt>
                <c:pt idx="34">
                  <c:v>1319982</c:v>
                </c:pt>
                <c:pt idx="35">
                  <c:v>1262120</c:v>
                </c:pt>
                <c:pt idx="36">
                  <c:v>1032245</c:v>
                </c:pt>
                <c:pt idx="37">
                  <c:v>974513</c:v>
                </c:pt>
                <c:pt idx="38">
                  <c:v>1088724</c:v>
                </c:pt>
                <c:pt idx="39">
                  <c:v>1202836</c:v>
                </c:pt>
                <c:pt idx="40">
                  <c:v>1202341</c:v>
                </c:pt>
                <c:pt idx="41">
                  <c:v>1144611</c:v>
                </c:pt>
                <c:pt idx="42">
                  <c:v>1086926</c:v>
                </c:pt>
                <c:pt idx="43">
                  <c:v>1029286</c:v>
                </c:pt>
                <c:pt idx="44">
                  <c:v>1143167</c:v>
                </c:pt>
                <c:pt idx="45">
                  <c:v>1256950</c:v>
                </c:pt>
                <c:pt idx="46">
                  <c:v>1313522</c:v>
                </c:pt>
                <c:pt idx="47">
                  <c:v>1255874</c:v>
                </c:pt>
                <c:pt idx="48">
                  <c:v>1027091</c:v>
                </c:pt>
                <c:pt idx="49">
                  <c:v>969611</c:v>
                </c:pt>
                <c:pt idx="50">
                  <c:v>1083212</c:v>
                </c:pt>
                <c:pt idx="51">
                  <c:v>1196713</c:v>
                </c:pt>
                <c:pt idx="52">
                  <c:v>1196190</c:v>
                </c:pt>
                <c:pt idx="53">
                  <c:v>1138728</c:v>
                </c:pt>
                <c:pt idx="54">
                  <c:v>1081316</c:v>
                </c:pt>
                <c:pt idx="55">
                  <c:v>1023952</c:v>
                </c:pt>
                <c:pt idx="56">
                  <c:v>1137219</c:v>
                </c:pt>
                <c:pt idx="57">
                  <c:v>1250385</c:v>
                </c:pt>
                <c:pt idx="58">
                  <c:v>1306636</c:v>
                </c:pt>
                <c:pt idx="59">
                  <c:v>1249266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EUR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Consumer Awareness Aufbau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Awareness</c:v>
          </c:tx>
          <c:spPr>
            <a:solidFill>
              <a:srgbClr val="FEF3C7"/>
            </a:solidFill>
            <a:ln w="25400">
              <a:solidFill>
                <a:srgbClr val="D97706"/>
              </a:solidFill>
            </a:ln>
          </c:spPr>
          <c:cat>
            <c:numRef>
              <c:f>Forecast!$B$9:$B$68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Forecast!$L$9:$L$68</c:f>
              <c:numCache>
                <c:formatCode>General</c:formatCode>
                <c:ptCount val="60"/>
                <c:pt idx="0">
                  <c:v>0.04930781701380831</c:v>
                </c:pt>
                <c:pt idx="1">
                  <c:v>0.07748189931437641</c:v>
                </c:pt>
                <c:pt idx="2">
                  <c:v>0.1185765904741316</c:v>
                </c:pt>
                <c:pt idx="3">
                  <c:v>0.1748119238904969</c:v>
                </c:pt>
                <c:pt idx="4">
                  <c:v>0.2454014347187945</c:v>
                </c:pt>
                <c:pt idx="5">
                  <c:v>0.325</c:v>
                </c:pt>
                <c:pt idx="6">
                  <c:v>0.4045985652812055</c:v>
                </c:pt>
                <c:pt idx="7">
                  <c:v>0.4751880761095032</c:v>
                </c:pt>
                <c:pt idx="8">
                  <c:v>0.5314234095258684</c:v>
                </c:pt>
                <c:pt idx="9">
                  <c:v>0.5725181006856236</c:v>
                </c:pt>
                <c:pt idx="10">
                  <c:v>0.6006921829861918</c:v>
                </c:pt>
                <c:pt idx="11">
                  <c:v>0.6191731824345816</c:v>
                </c:pt>
                <c:pt idx="12">
                  <c:v>0.6309470500116183</c:v>
                </c:pt>
                <c:pt idx="13">
                  <c:v>0.6383089635246405</c:v>
                </c:pt>
                <c:pt idx="14">
                  <c:v>0.6428584872901145</c:v>
                </c:pt>
                <c:pt idx="15">
                  <c:v>0.6456496468992149</c:v>
                </c:pt>
                <c:pt idx="16">
                  <c:v>0.6473544104846676</c:v>
                </c:pt>
                <c:pt idx="17">
                  <c:v>0.6483927949481875</c:v>
                </c:pt>
                <c:pt idx="18">
                  <c:v>0.6490242315331209</c:v>
                </c:pt>
                <c:pt idx="19">
                  <c:v>0.6494078167236397</c:v>
                </c:pt>
                <c:pt idx="20">
                  <c:v>0.6496406938859998</c:v>
                </c:pt>
                <c:pt idx="21">
                  <c:v>0.6497820224151969</c:v>
                </c:pt>
                <c:pt idx="22">
                  <c:v>0.6498677724642642</c:v>
                </c:pt>
                <c:pt idx="23">
                  <c:v>0.6499197935256089</c:v>
                </c:pt>
                <c:pt idx="24">
                  <c:v>0.6499513499521181</c:v>
                </c:pt>
                <c:pt idx="25">
                  <c:v>0.6499704913853435</c:v>
                </c:pt>
                <c:pt idx="26">
                  <c:v>0.6499821018007755</c:v>
                </c:pt>
                <c:pt idx="27">
                  <c:v>0.6499891440757988</c:v>
                </c:pt>
                <c:pt idx="28">
                  <c:v>0.6499934155058624</c:v>
                </c:pt>
                <c:pt idx="29">
                  <c:v>0.6499960062865086</c:v>
                </c:pt>
                <c:pt idx="30">
                  <c:v>0.6499975776844653</c:v>
                </c:pt>
                <c:pt idx="31">
                  <c:v>0.6499985307892064</c:v>
                </c:pt>
                <c:pt idx="32">
                  <c:v>0.6499991088778155</c:v>
                </c:pt>
                <c:pt idx="33">
                  <c:v>0.649999459506782</c:v>
                </c:pt>
                <c:pt idx="34">
                  <c:v>0.6499996721741848</c:v>
                </c:pt>
                <c:pt idx="35">
                  <c:v>0.6499998011635525</c:v>
                </c:pt>
                <c:pt idx="36">
                  <c:v>0.6499998793995838</c:v>
                </c:pt>
                <c:pt idx="37">
                  <c:v>0.6499999268521447</c:v>
                </c:pt>
                <c:pt idx="38">
                  <c:v>0.6499999556335812</c:v>
                </c:pt>
                <c:pt idx="39">
                  <c:v>0.6499999730904059</c:v>
                </c:pt>
                <c:pt idx="40">
                  <c:v>0.6499999836785059</c:v>
                </c:pt>
                <c:pt idx="41">
                  <c:v>0.6499999901005133</c:v>
                </c:pt>
                <c:pt idx="42">
                  <c:v>0.6499999939956578</c:v>
                </c:pt>
                <c:pt idx="43">
                  <c:v>0.6499999963581824</c:v>
                </c:pt>
                <c:pt idx="44">
                  <c:v>0.6499999977911259</c:v>
                </c:pt>
                <c:pt idx="45">
                  <c:v>0.6499999986602502</c:v>
                </c:pt>
                <c:pt idx="46">
                  <c:v>0.6499999991874007</c:v>
                </c:pt>
                <c:pt idx="47">
                  <c:v>0.6499999995071335</c:v>
                </c:pt>
                <c:pt idx="48">
                  <c:v>0.6499999997010615</c:v>
                </c:pt>
                <c:pt idx="49">
                  <c:v>0.6499999998186846</c:v>
                </c:pt>
                <c:pt idx="50">
                  <c:v>0.6499999998900267</c:v>
                </c:pt>
                <c:pt idx="51">
                  <c:v>0.6499999999332978</c:v>
                </c:pt>
                <c:pt idx="52">
                  <c:v>0.6499999999595431</c:v>
                </c:pt>
                <c:pt idx="53">
                  <c:v>0.6499999999754617</c:v>
                </c:pt>
                <c:pt idx="54">
                  <c:v>0.6499999999851168</c:v>
                </c:pt>
                <c:pt idx="55">
                  <c:v>0.6499999999909728</c:v>
                </c:pt>
                <c:pt idx="56">
                  <c:v>0.6499999999945247</c:v>
                </c:pt>
                <c:pt idx="57">
                  <c:v>0.6499999999966791</c:v>
                </c:pt>
                <c:pt idx="58">
                  <c:v>0.6499999999979857</c:v>
                </c:pt>
                <c:pt idx="59">
                  <c:v>0.6499999999987783</c:v>
                </c:pt>
              </c:numCache>
            </c:numRef>
          </c:val>
        </c:ser>
        <c:axId val="50030001"/>
        <c:axId val="50030002"/>
      </c:area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.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Awareness</a:t>
                </a:r>
              </a:p>
            </c:rich>
          </c:tx>
          <c:layout/>
        </c:title>
        <c:numFmt formatCode="0%" sourceLinked="0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69</xdr:row>
      <xdr:rowOff>0</xdr:rowOff>
    </xdr:from>
    <xdr:to>
      <xdr:col>8</xdr:col>
      <xdr:colOff>885825</xdr:colOff>
      <xdr:row>88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69</xdr:row>
      <xdr:rowOff>0</xdr:rowOff>
    </xdr:from>
    <xdr:to>
      <xdr:col>16</xdr:col>
      <xdr:colOff>752475</xdr:colOff>
      <xdr:row>88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89</xdr:row>
      <xdr:rowOff>0</xdr:rowOff>
    </xdr:from>
    <xdr:to>
      <xdr:col>8</xdr:col>
      <xdr:colOff>885825</xdr:colOff>
      <xdr:row>108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0B800"/>
  </sheetPr>
  <dimension ref="B2:M53"/>
  <sheetViews>
    <sheetView showGridLines="0" tabSelected="1" workbookViewId="0"/>
  </sheetViews>
  <sheetFormatPr defaultRowHeight="15"/>
  <cols>
    <col min="1" max="1" width="3.7109375" customWidth="1"/>
    <col min="2" max="2" width="44.7109375" customWidth="1"/>
    <col min="3" max="3" width="18.7109375" customWidth="1"/>
    <col min="4" max="4" width="55.7109375" customWidth="1"/>
  </cols>
  <sheetData>
    <row r="2" spans="2:4">
      <c r="B2" s="1" t="s">
        <v>0</v>
      </c>
      <c r="C2" s="1"/>
      <c r="D2" s="1"/>
    </row>
    <row r="3" spans="2:4">
      <c r="B3" s="2" t="s">
        <v>1</v>
      </c>
      <c r="C3" s="2"/>
      <c r="D3" s="2"/>
    </row>
    <row r="5" spans="2:4">
      <c r="B5" s="3" t="s">
        <v>2</v>
      </c>
      <c r="C5" s="3"/>
      <c r="D5" s="3"/>
    </row>
    <row r="6" spans="2:4">
      <c r="B6" s="4" t="s">
        <v>3</v>
      </c>
      <c r="C6" s="5" t="s">
        <v>4</v>
      </c>
      <c r="D6" s="6" t="s">
        <v>5</v>
      </c>
    </row>
    <row r="7" spans="2:4">
      <c r="B7" s="4" t="s">
        <v>6</v>
      </c>
      <c r="C7" s="5" t="s">
        <v>7</v>
      </c>
      <c r="D7" s="6" t="s">
        <v>8</v>
      </c>
    </row>
    <row r="8" spans="2:4">
      <c r="B8" s="4" t="s">
        <v>9</v>
      </c>
      <c r="C8" s="5" t="s">
        <v>10</v>
      </c>
      <c r="D8" s="6" t="s">
        <v>11</v>
      </c>
    </row>
    <row r="9" spans="2:4">
      <c r="B9" s="4" t="s">
        <v>12</v>
      </c>
      <c r="C9" s="5" t="s">
        <v>13</v>
      </c>
      <c r="D9" s="6" t="s">
        <v>14</v>
      </c>
    </row>
    <row r="10" spans="2:4">
      <c r="B10" s="4" t="s">
        <v>15</v>
      </c>
      <c r="C10" s="5" t="s">
        <v>16</v>
      </c>
      <c r="D10" s="6" t="s">
        <v>17</v>
      </c>
    </row>
    <row r="11" spans="2:4">
      <c r="B11" s="4" t="s">
        <v>18</v>
      </c>
      <c r="C11" s="5" t="s">
        <v>19</v>
      </c>
      <c r="D11" s="6" t="s">
        <v>20</v>
      </c>
    </row>
    <row r="13" spans="2:4">
      <c r="B13" s="3" t="s">
        <v>21</v>
      </c>
      <c r="C13" s="3"/>
      <c r="D13" s="3"/>
    </row>
    <row r="14" spans="2:4">
      <c r="B14" s="4" t="s">
        <v>22</v>
      </c>
      <c r="C14" s="7">
        <v>350000</v>
      </c>
      <c r="D14" s="6" t="s">
        <v>23</v>
      </c>
    </row>
    <row r="15" spans="2:4">
      <c r="B15" s="4" t="s">
        <v>24</v>
      </c>
      <c r="C15" s="8">
        <v>16.99</v>
      </c>
      <c r="D15" s="6" t="s">
        <v>25</v>
      </c>
    </row>
    <row r="16" spans="2:4">
      <c r="B16" s="4" t="s">
        <v>26</v>
      </c>
      <c r="C16" s="8">
        <v>5</v>
      </c>
      <c r="D16" s="6" t="s">
        <v>27</v>
      </c>
    </row>
    <row r="17" spans="2:4">
      <c r="B17" s="4" t="s">
        <v>28</v>
      </c>
      <c r="C17" s="9">
        <v>0.15</v>
      </c>
      <c r="D17" s="6" t="s">
        <v>29</v>
      </c>
    </row>
    <row r="18" spans="2:4">
      <c r="B18" s="4" t="s">
        <v>30</v>
      </c>
      <c r="C18" s="7">
        <v>24</v>
      </c>
      <c r="D18" s="6" t="s">
        <v>31</v>
      </c>
    </row>
    <row r="20" spans="2:4">
      <c r="B20" s="3" t="s">
        <v>32</v>
      </c>
      <c r="C20" s="3"/>
      <c r="D20" s="3"/>
    </row>
    <row r="21" spans="2:4">
      <c r="B21" s="4" t="s">
        <v>33</v>
      </c>
      <c r="C21" s="8">
        <v>7.99</v>
      </c>
      <c r="D21" s="6" t="s">
        <v>34</v>
      </c>
    </row>
    <row r="22" spans="2:4">
      <c r="B22" s="4" t="s">
        <v>35</v>
      </c>
      <c r="C22" s="7">
        <v>280000</v>
      </c>
      <c r="D22" s="6" t="s">
        <v>36</v>
      </c>
    </row>
    <row r="23" spans="2:4">
      <c r="B23" s="4" t="s">
        <v>37</v>
      </c>
      <c r="C23" s="7">
        <v>18</v>
      </c>
      <c r="D23" s="6" t="s">
        <v>38</v>
      </c>
    </row>
    <row r="24" spans="2:4">
      <c r="B24" s="4" t="s">
        <v>39</v>
      </c>
      <c r="C24" s="7">
        <v>14</v>
      </c>
      <c r="D24" s="6" t="s">
        <v>40</v>
      </c>
    </row>
    <row r="25" spans="2:4">
      <c r="B25" s="4" t="s">
        <v>41</v>
      </c>
      <c r="C25" s="9">
        <v>0.7</v>
      </c>
      <c r="D25" s="6" t="s">
        <v>42</v>
      </c>
    </row>
    <row r="26" spans="2:4">
      <c r="B26" s="4" t="s">
        <v>43</v>
      </c>
      <c r="C26" s="8">
        <v>-0.8</v>
      </c>
      <c r="D26" s="6" t="s">
        <v>44</v>
      </c>
    </row>
    <row r="27" spans="2:4">
      <c r="B27" s="4" t="s">
        <v>45</v>
      </c>
      <c r="C27" s="9">
        <v>-0.02</v>
      </c>
      <c r="D27" s="6" t="s">
        <v>46</v>
      </c>
    </row>
    <row r="29" spans="2:4">
      <c r="B29" s="3" t="s">
        <v>47</v>
      </c>
      <c r="C29" s="3"/>
      <c r="D29" s="3"/>
    </row>
    <row r="30" spans="2:4">
      <c r="B30" s="4" t="s">
        <v>48</v>
      </c>
      <c r="C30" s="7">
        <v>300000</v>
      </c>
      <c r="D30" s="6" t="s">
        <v>49</v>
      </c>
    </row>
    <row r="31" spans="2:4">
      <c r="B31" s="4" t="s">
        <v>50</v>
      </c>
      <c r="C31" s="9">
        <v>0.65</v>
      </c>
      <c r="D31" s="6" t="s">
        <v>51</v>
      </c>
    </row>
    <row r="32" spans="2:4">
      <c r="B32" s="4" t="s">
        <v>52</v>
      </c>
      <c r="C32" s="7">
        <v>12</v>
      </c>
      <c r="D32" s="6" t="s">
        <v>53</v>
      </c>
    </row>
    <row r="33" spans="2:13">
      <c r="B33" s="4" t="s">
        <v>54</v>
      </c>
      <c r="C33" s="9">
        <v>0.3</v>
      </c>
      <c r="D33" s="6" t="s">
        <v>55</v>
      </c>
    </row>
    <row r="34" spans="2:13">
      <c r="B34" s="4" t="s">
        <v>56</v>
      </c>
      <c r="C34" s="9">
        <v>0.55</v>
      </c>
      <c r="D34" s="6" t="s">
        <v>57</v>
      </c>
    </row>
    <row r="36" spans="2:13">
      <c r="B36" s="3" t="s">
        <v>58</v>
      </c>
      <c r="C36" s="3"/>
      <c r="D36" s="3"/>
    </row>
    <row r="37" spans="2:13">
      <c r="B37" s="4" t="s">
        <v>59</v>
      </c>
      <c r="C37" s="9">
        <v>0.25</v>
      </c>
      <c r="D37" s="6" t="s">
        <v>60</v>
      </c>
    </row>
    <row r="38" spans="2:13">
      <c r="B38" s="4" t="s">
        <v>61</v>
      </c>
      <c r="C38" s="9">
        <v>0.4</v>
      </c>
      <c r="D38" s="6" t="s">
        <v>62</v>
      </c>
    </row>
    <row r="39" spans="2:13">
      <c r="B39" s="4" t="s">
        <v>63</v>
      </c>
      <c r="C39" s="9">
        <v>0.08</v>
      </c>
      <c r="D39" s="6" t="s">
        <v>64</v>
      </c>
    </row>
    <row r="40" spans="2:13">
      <c r="B40" s="4" t="s">
        <v>65</v>
      </c>
      <c r="C40" s="9">
        <v>0.52</v>
      </c>
      <c r="D40" s="6">
        <f> 1 - Apotheke - Distribution (berechnet)</f>
        <v>0</v>
      </c>
    </row>
    <row r="42" spans="2:13">
      <c r="B42" s="3" t="s">
        <v>66</v>
      </c>
      <c r="C42" s="3"/>
      <c r="D42" s="3"/>
    </row>
    <row r="43" spans="2:13">
      <c r="B43" s="10" t="s">
        <v>67</v>
      </c>
      <c r="C43" s="10" t="s">
        <v>68</v>
      </c>
      <c r="D43" s="10" t="s">
        <v>69</v>
      </c>
      <c r="E43" s="10" t="s">
        <v>70</v>
      </c>
      <c r="F43" s="10" t="s">
        <v>71</v>
      </c>
      <c r="G43" s="10" t="s">
        <v>72</v>
      </c>
      <c r="H43" s="10" t="s">
        <v>73</v>
      </c>
      <c r="I43" s="10" t="s">
        <v>74</v>
      </c>
      <c r="J43" s="10" t="s">
        <v>75</v>
      </c>
      <c r="K43" s="10" t="s">
        <v>76</v>
      </c>
      <c r="L43" s="10" t="s">
        <v>77</v>
      </c>
      <c r="M43" s="10" t="s">
        <v>78</v>
      </c>
    </row>
    <row r="44" spans="2:13">
      <c r="B44" s="7">
        <v>0.9</v>
      </c>
      <c r="C44" s="7">
        <v>0.85</v>
      </c>
      <c r="D44" s="7">
        <v>0.95</v>
      </c>
      <c r="E44" s="7">
        <v>1.05</v>
      </c>
      <c r="F44" s="7">
        <v>1.05</v>
      </c>
      <c r="G44" s="7">
        <v>1</v>
      </c>
      <c r="H44" s="7">
        <v>0.95</v>
      </c>
      <c r="I44" s="7">
        <v>0.9</v>
      </c>
      <c r="J44" s="7">
        <v>1</v>
      </c>
      <c r="K44" s="7">
        <v>1.1</v>
      </c>
      <c r="L44" s="7">
        <v>1.15</v>
      </c>
      <c r="M44" s="7">
        <v>1.1</v>
      </c>
    </row>
    <row r="46" spans="2:13">
      <c r="B46" s="3" t="s">
        <v>79</v>
      </c>
      <c r="C46" s="3"/>
      <c r="D46" s="3"/>
      <c r="E46" s="3"/>
    </row>
    <row r="47" spans="2:13">
      <c r="B47" s="10" t="s">
        <v>80</v>
      </c>
      <c r="C47" s="10" t="s">
        <v>81</v>
      </c>
      <c r="D47" s="10" t="s">
        <v>82</v>
      </c>
      <c r="E47" s="10" t="s">
        <v>83</v>
      </c>
    </row>
    <row r="48" spans="2:13">
      <c r="B48" s="4" t="s">
        <v>84</v>
      </c>
      <c r="C48" s="7">
        <v>180000</v>
      </c>
      <c r="D48" s="7">
        <v>280000</v>
      </c>
      <c r="E48" s="7">
        <v>400000</v>
      </c>
    </row>
    <row r="49" spans="2:5">
      <c r="B49" s="4" t="s">
        <v>85</v>
      </c>
      <c r="C49" s="7">
        <v>6.99</v>
      </c>
      <c r="D49" s="7">
        <v>7.99</v>
      </c>
      <c r="E49" s="7">
        <v>8.99</v>
      </c>
    </row>
    <row r="50" spans="2:5">
      <c r="B50" s="4" t="s">
        <v>37</v>
      </c>
      <c r="C50" s="7">
        <v>24</v>
      </c>
      <c r="D50" s="7">
        <v>18</v>
      </c>
      <c r="E50" s="7">
        <v>12</v>
      </c>
    </row>
    <row r="51" spans="2:5">
      <c r="B51" s="4" t="s">
        <v>86</v>
      </c>
      <c r="C51" s="7">
        <v>200000</v>
      </c>
      <c r="D51" s="7">
        <v>300000</v>
      </c>
      <c r="E51" s="7">
        <v>500000</v>
      </c>
    </row>
    <row r="52" spans="2:5">
      <c r="B52" s="4" t="s">
        <v>87</v>
      </c>
      <c r="C52" s="9">
        <v>0.1</v>
      </c>
      <c r="D52" s="9">
        <v>0.15</v>
      </c>
      <c r="E52" s="9">
        <v>0.2</v>
      </c>
    </row>
    <row r="53" spans="2:5">
      <c r="B53" s="4" t="s">
        <v>88</v>
      </c>
      <c r="C53" s="9">
        <v>0.6</v>
      </c>
      <c r="D53" s="9">
        <v>0.7</v>
      </c>
      <c r="E53" s="9">
        <v>0.75</v>
      </c>
    </row>
  </sheetData>
  <mergeCells count="9">
    <mergeCell ref="B2:D2"/>
    <mergeCell ref="B3:D3"/>
    <mergeCell ref="B5:D5"/>
    <mergeCell ref="B13:D13"/>
    <mergeCell ref="B20:D20"/>
    <mergeCell ref="B29:D29"/>
    <mergeCell ref="B36:D36"/>
    <mergeCell ref="B42:D42"/>
    <mergeCell ref="B46:E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E3A5F"/>
  </sheetPr>
  <dimension ref="B2:F31"/>
  <sheetViews>
    <sheetView showGridLines="0" workbookViewId="0"/>
  </sheetViews>
  <sheetFormatPr defaultRowHeight="15"/>
  <cols>
    <col min="1" max="1" width="3.7109375" customWidth="1"/>
    <col min="2" max="2" width="34.7109375" customWidth="1"/>
    <col min="3" max="7" width="18.7109375" customWidth="1"/>
  </cols>
  <sheetData>
    <row r="2" spans="2:6">
      <c r="B2" s="1" t="s">
        <v>89</v>
      </c>
      <c r="C2" s="1"/>
      <c r="D2" s="1"/>
      <c r="E2" s="1"/>
      <c r="F2" s="1"/>
    </row>
    <row r="4" spans="2:6">
      <c r="B4" s="3" t="s">
        <v>90</v>
      </c>
      <c r="C4" s="3"/>
      <c r="D4" s="3"/>
      <c r="E4" s="3"/>
      <c r="F4" s="3"/>
    </row>
    <row r="5" spans="2:6">
      <c r="B5" s="4" t="s">
        <v>91</v>
      </c>
      <c r="C5" s="11" t="s">
        <v>92</v>
      </c>
      <c r="D5" s="11"/>
      <c r="E5" s="11"/>
      <c r="F5" s="11"/>
    </row>
    <row r="6" spans="2:6">
      <c r="B6" s="4" t="s">
        <v>93</v>
      </c>
      <c r="C6" s="11" t="s">
        <v>94</v>
      </c>
      <c r="D6" s="11"/>
      <c r="E6" s="11"/>
      <c r="F6" s="11"/>
    </row>
    <row r="7" spans="2:6">
      <c r="B7" s="4" t="s">
        <v>95</v>
      </c>
      <c r="C7" s="11" t="s">
        <v>96</v>
      </c>
      <c r="D7" s="11"/>
      <c r="E7" s="11"/>
      <c r="F7" s="11"/>
    </row>
    <row r="8" spans="2:6">
      <c r="B8" s="4" t="s">
        <v>97</v>
      </c>
      <c r="C8" s="11" t="s">
        <v>98</v>
      </c>
      <c r="D8" s="11"/>
      <c r="E8" s="11"/>
      <c r="F8" s="11"/>
    </row>
    <row r="9" spans="2:6">
      <c r="B9" s="4" t="s">
        <v>99</v>
      </c>
      <c r="C9" s="11" t="s">
        <v>100</v>
      </c>
      <c r="D9" s="11"/>
      <c r="E9" s="11"/>
      <c r="F9" s="11"/>
    </row>
    <row r="10" spans="2:6">
      <c r="B10" s="4" t="s">
        <v>101</v>
      </c>
      <c r="C10" s="11" t="s">
        <v>102</v>
      </c>
      <c r="D10" s="11"/>
      <c r="E10" s="11"/>
      <c r="F10" s="11"/>
    </row>
    <row r="12" spans="2:6">
      <c r="B12" s="3" t="s">
        <v>103</v>
      </c>
      <c r="C12" s="3"/>
      <c r="D12" s="3"/>
      <c r="E12" s="3"/>
      <c r="F12" s="3"/>
    </row>
    <row r="13" spans="2:6" ht="30" customHeight="1">
      <c r="B13" s="10" t="s">
        <v>104</v>
      </c>
      <c r="C13" s="10" t="s">
        <v>105</v>
      </c>
      <c r="D13" s="10" t="s">
        <v>106</v>
      </c>
      <c r="E13" s="10" t="s">
        <v>107</v>
      </c>
      <c r="F13" s="10" t="s">
        <v>108</v>
      </c>
    </row>
    <row r="14" spans="2:6">
      <c r="B14" s="4" t="s">
        <v>109</v>
      </c>
      <c r="C14" s="11" t="s">
        <v>110</v>
      </c>
      <c r="D14" s="12">
        <v>7.99</v>
      </c>
      <c r="E14" s="11" t="s">
        <v>111</v>
      </c>
      <c r="F14" s="13">
        <v>0.35</v>
      </c>
    </row>
    <row r="15" spans="2:6">
      <c r="B15" s="4" t="s">
        <v>112</v>
      </c>
      <c r="C15" s="11" t="s">
        <v>113</v>
      </c>
      <c r="D15" s="12">
        <v>8.49</v>
      </c>
      <c r="E15" s="11" t="s">
        <v>111</v>
      </c>
      <c r="F15" s="13">
        <v>0.15</v>
      </c>
    </row>
    <row r="16" spans="2:6">
      <c r="B16" s="4" t="s">
        <v>114</v>
      </c>
      <c r="C16" s="11" t="s">
        <v>115</v>
      </c>
      <c r="D16" s="12">
        <v>12.99</v>
      </c>
      <c r="E16" s="11" t="s">
        <v>116</v>
      </c>
      <c r="F16" s="13">
        <v>0.12</v>
      </c>
    </row>
    <row r="17" spans="2:6">
      <c r="B17" s="4" t="s">
        <v>117</v>
      </c>
      <c r="C17" s="11" t="s">
        <v>118</v>
      </c>
      <c r="D17" s="12">
        <v>3.5</v>
      </c>
      <c r="E17" s="11" t="s">
        <v>111</v>
      </c>
      <c r="F17" s="13">
        <v>0.25</v>
      </c>
    </row>
    <row r="18" spans="2:6">
      <c r="B18" s="4" t="s">
        <v>119</v>
      </c>
      <c r="C18" s="11" t="s">
        <v>120</v>
      </c>
      <c r="D18" s="12">
        <v>6.49</v>
      </c>
      <c r="E18" s="11" t="s">
        <v>111</v>
      </c>
      <c r="F18" s="13">
        <v>0.08</v>
      </c>
    </row>
    <row r="19" spans="2:6">
      <c r="B19" s="4" t="s">
        <v>121</v>
      </c>
      <c r="C19" s="11" t="s">
        <v>118</v>
      </c>
      <c r="D19" s="12">
        <v>5</v>
      </c>
      <c r="E19" s="11" t="s">
        <v>111</v>
      </c>
      <c r="F19" s="13">
        <v>0.05</v>
      </c>
    </row>
    <row r="21" spans="2:6">
      <c r="B21" s="3" t="s">
        <v>122</v>
      </c>
      <c r="C21" s="3"/>
      <c r="D21" s="3"/>
      <c r="E21" s="3"/>
      <c r="F21" s="3"/>
    </row>
    <row r="22" spans="2:6">
      <c r="B22" s="10" t="s">
        <v>6</v>
      </c>
      <c r="C22" s="10" t="s">
        <v>123</v>
      </c>
      <c r="D22" s="10" t="s">
        <v>124</v>
      </c>
      <c r="E22" s="10" t="s">
        <v>125</v>
      </c>
    </row>
    <row r="23" spans="2:6">
      <c r="B23" s="4" t="s">
        <v>126</v>
      </c>
      <c r="C23" s="14">
        <v>7750000</v>
      </c>
      <c r="D23" s="13">
        <v>0.15</v>
      </c>
      <c r="E23" s="11" t="s">
        <v>127</v>
      </c>
    </row>
    <row r="24" spans="2:6">
      <c r="B24" s="4" t="s">
        <v>128</v>
      </c>
      <c r="C24" s="14">
        <v>120000</v>
      </c>
      <c r="D24" s="13">
        <v>0.46</v>
      </c>
      <c r="E24" s="11" t="s">
        <v>129</v>
      </c>
    </row>
    <row r="25" spans="2:6">
      <c r="B25" s="4" t="s">
        <v>130</v>
      </c>
      <c r="C25" s="14">
        <v>3200000</v>
      </c>
      <c r="D25" s="13">
        <v>0.05</v>
      </c>
      <c r="E25" s="11" t="s">
        <v>131</v>
      </c>
    </row>
    <row r="27" spans="2:6">
      <c r="B27" s="3" t="s">
        <v>132</v>
      </c>
      <c r="C27" s="3"/>
      <c r="D27" s="3"/>
      <c r="E27" s="3"/>
      <c r="F27" s="3"/>
    </row>
    <row r="28" spans="2:6">
      <c r="B28" s="4" t="s">
        <v>133</v>
      </c>
      <c r="C28" s="11" t="s">
        <v>134</v>
      </c>
      <c r="D28" s="11"/>
      <c r="E28" s="11"/>
      <c r="F28" s="11"/>
    </row>
    <row r="29" spans="2:6">
      <c r="B29" s="4" t="s">
        <v>135</v>
      </c>
      <c r="C29" s="11" t="s">
        <v>136</v>
      </c>
      <c r="D29" s="11"/>
      <c r="E29" s="11"/>
      <c r="F29" s="11"/>
    </row>
    <row r="30" spans="2:6">
      <c r="B30" s="4" t="s">
        <v>137</v>
      </c>
      <c r="C30" s="11" t="s">
        <v>138</v>
      </c>
      <c r="D30" s="11"/>
      <c r="E30" s="11"/>
      <c r="F30" s="11"/>
    </row>
    <row r="31" spans="2:6">
      <c r="B31" s="4" t="s">
        <v>139</v>
      </c>
      <c r="C31" s="11" t="s">
        <v>140</v>
      </c>
      <c r="D31" s="11"/>
      <c r="E31" s="11"/>
      <c r="F31" s="11"/>
    </row>
  </sheetData>
  <mergeCells count="15">
    <mergeCell ref="B2:F2"/>
    <mergeCell ref="B4:F4"/>
    <mergeCell ref="C5:F5"/>
    <mergeCell ref="C6:F6"/>
    <mergeCell ref="C7:F7"/>
    <mergeCell ref="C8:F8"/>
    <mergeCell ref="C9:F9"/>
    <mergeCell ref="C10:F10"/>
    <mergeCell ref="B12:F12"/>
    <mergeCell ref="B21:F21"/>
    <mergeCell ref="B27:F27"/>
    <mergeCell ref="C28:F28"/>
    <mergeCell ref="C29:F29"/>
    <mergeCell ref="C30:F30"/>
    <mergeCell ref="C31:F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D9488"/>
  </sheetPr>
  <dimension ref="B2:R68"/>
  <sheetViews>
    <sheetView showGridLines="0" workbookViewId="0"/>
  </sheetViews>
  <sheetFormatPr defaultRowHeight="15"/>
  <cols>
    <col min="1" max="1" width="3.7109375" customWidth="1"/>
    <col min="2" max="2" width="12.7109375" customWidth="1"/>
    <col min="3" max="18" width="14.7109375" customWidth="1"/>
  </cols>
  <sheetData>
    <row r="2" spans="2:18">
      <c r="B2" s="1" t="s">
        <v>141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8">
      <c r="B4" s="15" t="s">
        <v>142</v>
      </c>
      <c r="C4" s="15"/>
      <c r="D4" s="15" t="s">
        <v>143</v>
      </c>
      <c r="E4" s="15"/>
      <c r="F4" s="15" t="s">
        <v>144</v>
      </c>
      <c r="G4" s="15"/>
      <c r="H4" s="15" t="s">
        <v>145</v>
      </c>
      <c r="I4" s="15"/>
      <c r="J4" s="15" t="s">
        <v>146</v>
      </c>
      <c r="K4" s="15"/>
    </row>
    <row r="5" spans="2:18">
      <c r="B5" s="16">
        <v>4214130</v>
      </c>
      <c r="C5" s="16"/>
      <c r="D5" s="17">
        <v>405624127</v>
      </c>
      <c r="E5" s="17"/>
      <c r="F5" s="17">
        <v>291258095</v>
      </c>
      <c r="G5" s="17"/>
      <c r="H5" s="18">
        <v>0.1593937762270391</v>
      </c>
      <c r="I5" s="18"/>
      <c r="J5" s="19" t="s">
        <v>147</v>
      </c>
      <c r="K5" s="19"/>
    </row>
    <row r="8" spans="2:18" ht="35" customHeight="1">
      <c r="B8" s="20" t="s">
        <v>148</v>
      </c>
      <c r="C8" s="20" t="s">
        <v>149</v>
      </c>
      <c r="D8" s="20" t="s">
        <v>150</v>
      </c>
      <c r="E8" s="20" t="s">
        <v>151</v>
      </c>
      <c r="F8" s="20" t="s">
        <v>152</v>
      </c>
      <c r="G8" s="20" t="s">
        <v>153</v>
      </c>
      <c r="H8" s="20" t="s">
        <v>154</v>
      </c>
      <c r="I8" s="20" t="s">
        <v>155</v>
      </c>
      <c r="J8" s="20" t="s">
        <v>156</v>
      </c>
      <c r="K8" s="20" t="s">
        <v>157</v>
      </c>
      <c r="L8" s="20" t="s">
        <v>158</v>
      </c>
      <c r="M8" s="20" t="s">
        <v>159</v>
      </c>
      <c r="N8" s="20" t="s">
        <v>160</v>
      </c>
      <c r="O8" s="20" t="s">
        <v>161</v>
      </c>
      <c r="P8" s="20" t="s">
        <v>162</v>
      </c>
      <c r="Q8" s="20" t="s">
        <v>163</v>
      </c>
      <c r="R8" s="20" t="s">
        <v>164</v>
      </c>
    </row>
    <row r="9" spans="2:18">
      <c r="B9">
        <v>1</v>
      </c>
      <c r="C9" s="21">
        <v>1</v>
      </c>
      <c r="D9" s="21">
        <v>349646</v>
      </c>
      <c r="E9" s="14">
        <v>5940480</v>
      </c>
      <c r="F9" s="21">
        <v>2164</v>
      </c>
      <c r="G9" s="12">
        <v>7.98</v>
      </c>
      <c r="H9" s="14">
        <v>17260</v>
      </c>
      <c r="I9" s="14">
        <v>8975</v>
      </c>
      <c r="J9" s="21">
        <v>1515</v>
      </c>
      <c r="K9" s="21">
        <v>649</v>
      </c>
      <c r="L9" s="13">
        <v>0.04930781701380831</v>
      </c>
      <c r="M9" s="22">
        <v>0.9</v>
      </c>
      <c r="N9" s="14">
        <v>300000</v>
      </c>
      <c r="O9" s="14">
        <v>5949455</v>
      </c>
      <c r="P9" s="14">
        <v>4162091</v>
      </c>
      <c r="Q9" s="14">
        <v>5949455</v>
      </c>
      <c r="R9" s="14">
        <v>4162091</v>
      </c>
    </row>
    <row r="10" spans="2:18">
      <c r="B10" s="23">
        <v>2</v>
      </c>
      <c r="C10" s="24">
        <v>2</v>
      </c>
      <c r="D10" s="24">
        <v>349294</v>
      </c>
      <c r="E10" s="25">
        <v>5934501</v>
      </c>
      <c r="F10" s="24">
        <v>3293</v>
      </c>
      <c r="G10" s="25">
        <v>7.96</v>
      </c>
      <c r="H10" s="25">
        <v>26219</v>
      </c>
      <c r="I10" s="25">
        <v>13634</v>
      </c>
      <c r="J10" s="24">
        <v>2305</v>
      </c>
      <c r="K10" s="24">
        <v>988</v>
      </c>
      <c r="L10" s="26">
        <v>0.07748189931437641</v>
      </c>
      <c r="M10" s="27">
        <v>0.85</v>
      </c>
      <c r="N10" s="25">
        <v>300000</v>
      </c>
      <c r="O10" s="25">
        <v>5948135</v>
      </c>
      <c r="P10" s="25">
        <v>4161101</v>
      </c>
      <c r="Q10" s="25">
        <v>11897590</v>
      </c>
      <c r="R10" s="25">
        <v>8323193</v>
      </c>
    </row>
    <row r="11" spans="2:18">
      <c r="B11">
        <v>3</v>
      </c>
      <c r="C11" s="21">
        <v>3</v>
      </c>
      <c r="D11" s="21">
        <v>348944</v>
      </c>
      <c r="E11" s="14">
        <v>5928562</v>
      </c>
      <c r="F11" s="21">
        <v>7525</v>
      </c>
      <c r="G11" s="12">
        <v>7.95</v>
      </c>
      <c r="H11" s="14">
        <v>59825</v>
      </c>
      <c r="I11" s="14">
        <v>31109</v>
      </c>
      <c r="J11" s="21">
        <v>5268</v>
      </c>
      <c r="K11" s="21">
        <v>2258</v>
      </c>
      <c r="L11" s="13">
        <v>0.1185765904741316</v>
      </c>
      <c r="M11" s="22">
        <v>0.95</v>
      </c>
      <c r="N11" s="14">
        <v>300000</v>
      </c>
      <c r="O11" s="14">
        <v>5959672</v>
      </c>
      <c r="P11" s="14">
        <v>4169754</v>
      </c>
      <c r="Q11" s="14">
        <v>17857262</v>
      </c>
      <c r="R11" s="14">
        <v>12492946</v>
      </c>
    </row>
    <row r="12" spans="2:18">
      <c r="B12" s="23">
        <v>4</v>
      </c>
      <c r="C12" s="24">
        <v>4</v>
      </c>
      <c r="D12" s="24">
        <v>348597</v>
      </c>
      <c r="E12" s="25">
        <v>5922664</v>
      </c>
      <c r="F12" s="24">
        <v>16149</v>
      </c>
      <c r="G12" s="25">
        <v>7.94</v>
      </c>
      <c r="H12" s="25">
        <v>128166</v>
      </c>
      <c r="I12" s="25">
        <v>66646</v>
      </c>
      <c r="J12" s="24">
        <v>11304</v>
      </c>
      <c r="K12" s="24">
        <v>4845</v>
      </c>
      <c r="L12" s="26">
        <v>0.1748119238904969</v>
      </c>
      <c r="M12" s="27">
        <v>1.05</v>
      </c>
      <c r="N12" s="25">
        <v>300000</v>
      </c>
      <c r="O12" s="25">
        <v>5989310</v>
      </c>
      <c r="P12" s="25">
        <v>4191983</v>
      </c>
      <c r="Q12" s="25">
        <v>23846572</v>
      </c>
      <c r="R12" s="25">
        <v>16684929</v>
      </c>
    </row>
    <row r="13" spans="2:18">
      <c r="B13">
        <v>5</v>
      </c>
      <c r="C13" s="21">
        <v>5</v>
      </c>
      <c r="D13" s="21">
        <v>348252</v>
      </c>
      <c r="E13" s="14">
        <v>5916805</v>
      </c>
      <c r="F13" s="21">
        <v>29324</v>
      </c>
      <c r="G13" s="12">
        <v>7.92</v>
      </c>
      <c r="H13" s="14">
        <v>232335</v>
      </c>
      <c r="I13" s="14">
        <v>120814</v>
      </c>
      <c r="J13" s="21">
        <v>20527</v>
      </c>
      <c r="K13" s="21">
        <v>8797</v>
      </c>
      <c r="L13" s="13">
        <v>0.2454014347187945</v>
      </c>
      <c r="M13" s="22">
        <v>1.05</v>
      </c>
      <c r="N13" s="14">
        <v>300000</v>
      </c>
      <c r="O13" s="14">
        <v>6037619</v>
      </c>
      <c r="P13" s="14">
        <v>4228214</v>
      </c>
      <c r="Q13" s="14">
        <v>29884191</v>
      </c>
      <c r="R13" s="14">
        <v>20913144</v>
      </c>
    </row>
    <row r="14" spans="2:18">
      <c r="B14" s="23">
        <v>6</v>
      </c>
      <c r="C14" s="24">
        <v>6</v>
      </c>
      <c r="D14" s="24">
        <v>347910</v>
      </c>
      <c r="E14" s="25">
        <v>5910986</v>
      </c>
      <c r="F14" s="24">
        <v>46825</v>
      </c>
      <c r="G14" s="25">
        <v>7.91</v>
      </c>
      <c r="H14" s="25">
        <v>370374</v>
      </c>
      <c r="I14" s="25">
        <v>192595</v>
      </c>
      <c r="J14" s="24">
        <v>32778</v>
      </c>
      <c r="K14" s="24">
        <v>14048</v>
      </c>
      <c r="L14" s="26">
        <v>0.325</v>
      </c>
      <c r="M14" s="27">
        <v>1</v>
      </c>
      <c r="N14" s="25">
        <v>300000</v>
      </c>
      <c r="O14" s="25">
        <v>6103580</v>
      </c>
      <c r="P14" s="25">
        <v>4277685</v>
      </c>
      <c r="Q14" s="25">
        <v>35987772</v>
      </c>
      <c r="R14" s="25">
        <v>25190829</v>
      </c>
    </row>
    <row r="15" spans="2:18">
      <c r="B15">
        <v>7</v>
      </c>
      <c r="C15" s="21">
        <v>7</v>
      </c>
      <c r="D15" s="21">
        <v>347569</v>
      </c>
      <c r="E15" s="14">
        <v>5905206</v>
      </c>
      <c r="F15" s="21">
        <v>68410</v>
      </c>
      <c r="G15" s="12">
        <v>7.9</v>
      </c>
      <c r="H15" s="14">
        <v>540191</v>
      </c>
      <c r="I15" s="14">
        <v>280899</v>
      </c>
      <c r="J15" s="21">
        <v>47887</v>
      </c>
      <c r="K15" s="21">
        <v>20523</v>
      </c>
      <c r="L15" s="13">
        <v>0.4045985652812055</v>
      </c>
      <c r="M15" s="22">
        <v>0.95</v>
      </c>
      <c r="N15" s="14">
        <v>300000</v>
      </c>
      <c r="O15" s="14">
        <v>6186105</v>
      </c>
      <c r="P15" s="14">
        <v>4339579</v>
      </c>
      <c r="Q15" s="14">
        <v>42173877</v>
      </c>
      <c r="R15" s="14">
        <v>29530407</v>
      </c>
    </row>
    <row r="16" spans="2:18">
      <c r="B16" s="23">
        <v>8</v>
      </c>
      <c r="C16" s="24">
        <v>8</v>
      </c>
      <c r="D16" s="24">
        <v>347232</v>
      </c>
      <c r="E16" s="25">
        <v>5899465</v>
      </c>
      <c r="F16" s="24">
        <v>91544</v>
      </c>
      <c r="G16" s="25">
        <v>7.88</v>
      </c>
      <c r="H16" s="25">
        <v>721655</v>
      </c>
      <c r="I16" s="25">
        <v>375261</v>
      </c>
      <c r="J16" s="24">
        <v>64081</v>
      </c>
      <c r="K16" s="24">
        <v>27463</v>
      </c>
      <c r="L16" s="26">
        <v>0.4751880761095032</v>
      </c>
      <c r="M16" s="27">
        <v>0.9</v>
      </c>
      <c r="N16" s="25">
        <v>300000</v>
      </c>
      <c r="O16" s="25">
        <v>6274725</v>
      </c>
      <c r="P16" s="25">
        <v>4406044</v>
      </c>
      <c r="Q16" s="25">
        <v>48448602</v>
      </c>
      <c r="R16" s="25">
        <v>33936451</v>
      </c>
    </row>
    <row r="17" spans="2:18">
      <c r="B17">
        <v>9</v>
      </c>
      <c r="C17" s="21">
        <v>9</v>
      </c>
      <c r="D17" s="21">
        <v>346896</v>
      </c>
      <c r="E17" s="14">
        <v>5893762</v>
      </c>
      <c r="F17" s="21">
        <v>133080</v>
      </c>
      <c r="G17" s="12">
        <v>7.87</v>
      </c>
      <c r="H17" s="14">
        <v>1047319</v>
      </c>
      <c r="I17" s="14">
        <v>544606</v>
      </c>
      <c r="J17" s="21">
        <v>93156</v>
      </c>
      <c r="K17" s="21">
        <v>39924</v>
      </c>
      <c r="L17" s="13">
        <v>0.5314234095258684</v>
      </c>
      <c r="M17" s="22">
        <v>1</v>
      </c>
      <c r="N17" s="14">
        <v>300000</v>
      </c>
      <c r="O17" s="14">
        <v>6438368</v>
      </c>
      <c r="P17" s="14">
        <v>4528776</v>
      </c>
      <c r="Q17" s="14">
        <v>54886970</v>
      </c>
      <c r="R17" s="14">
        <v>38465227</v>
      </c>
    </row>
    <row r="18" spans="2:18">
      <c r="B18" s="23">
        <v>10</v>
      </c>
      <c r="C18" s="24">
        <v>10</v>
      </c>
      <c r="D18" s="24">
        <v>346563</v>
      </c>
      <c r="E18" s="25">
        <v>5888099</v>
      </c>
      <c r="F18" s="24">
        <v>179579</v>
      </c>
      <c r="G18" s="25">
        <v>7.86</v>
      </c>
      <c r="H18" s="25">
        <v>1410880</v>
      </c>
      <c r="I18" s="25">
        <v>733658</v>
      </c>
      <c r="J18" s="24">
        <v>125705</v>
      </c>
      <c r="K18" s="24">
        <v>53874</v>
      </c>
      <c r="L18" s="26">
        <v>0.5725181006856236</v>
      </c>
      <c r="M18" s="27">
        <v>1.1</v>
      </c>
      <c r="N18" s="25">
        <v>300000</v>
      </c>
      <c r="O18" s="25">
        <v>6621756</v>
      </c>
      <c r="P18" s="25">
        <v>4666317</v>
      </c>
      <c r="Q18" s="25">
        <v>61508726</v>
      </c>
      <c r="R18" s="25">
        <v>43131544</v>
      </c>
    </row>
    <row r="19" spans="2:18">
      <c r="B19">
        <v>11</v>
      </c>
      <c r="C19" s="21">
        <v>11</v>
      </c>
      <c r="D19" s="21">
        <v>346231</v>
      </c>
      <c r="E19" s="14">
        <v>5882473</v>
      </c>
      <c r="F19" s="21">
        <v>218740</v>
      </c>
      <c r="G19" s="12">
        <v>7.84</v>
      </c>
      <c r="H19" s="14">
        <v>1715667</v>
      </c>
      <c r="I19" s="14">
        <v>892147</v>
      </c>
      <c r="J19" s="21">
        <v>153118</v>
      </c>
      <c r="K19" s="21">
        <v>65622</v>
      </c>
      <c r="L19" s="13">
        <v>0.6006921829861918</v>
      </c>
      <c r="M19" s="22">
        <v>1.15</v>
      </c>
      <c r="N19" s="14">
        <v>300000</v>
      </c>
      <c r="O19" s="14">
        <v>6774620</v>
      </c>
      <c r="P19" s="14">
        <v>4780965</v>
      </c>
      <c r="Q19" s="14">
        <v>68283346</v>
      </c>
      <c r="R19" s="14">
        <v>47912509</v>
      </c>
    </row>
    <row r="20" spans="2:18">
      <c r="B20" s="23">
        <v>12</v>
      </c>
      <c r="C20" s="24">
        <v>12</v>
      </c>
      <c r="D20" s="24">
        <v>345903</v>
      </c>
      <c r="E20" s="25">
        <v>5876885</v>
      </c>
      <c r="F20" s="24">
        <v>234247</v>
      </c>
      <c r="G20" s="25">
        <v>7.83</v>
      </c>
      <c r="H20" s="25">
        <v>1834203</v>
      </c>
      <c r="I20" s="25">
        <v>953786</v>
      </c>
      <c r="J20" s="24">
        <v>163973</v>
      </c>
      <c r="K20" s="24">
        <v>70274</v>
      </c>
      <c r="L20" s="26">
        <v>0.6191731824345816</v>
      </c>
      <c r="M20" s="27">
        <v>1.1</v>
      </c>
      <c r="N20" s="25">
        <v>300000</v>
      </c>
      <c r="O20" s="25">
        <v>6830671</v>
      </c>
      <c r="P20" s="25">
        <v>4823003</v>
      </c>
      <c r="Q20" s="25">
        <v>75114017</v>
      </c>
      <c r="R20" s="25">
        <v>52735512</v>
      </c>
    </row>
    <row r="21" spans="2:18">
      <c r="B21">
        <v>13</v>
      </c>
      <c r="C21" s="21">
        <v>13</v>
      </c>
      <c r="D21" s="21">
        <v>345576</v>
      </c>
      <c r="E21" s="14">
        <v>5871335</v>
      </c>
      <c r="F21" s="21">
        <v>208197</v>
      </c>
      <c r="G21" s="12">
        <v>7.82</v>
      </c>
      <c r="H21" s="14">
        <v>1627482</v>
      </c>
      <c r="I21" s="14">
        <v>846291</v>
      </c>
      <c r="J21" s="21">
        <v>145738</v>
      </c>
      <c r="K21" s="21">
        <v>62459</v>
      </c>
      <c r="L21" s="13">
        <v>0.6309470500116183</v>
      </c>
      <c r="M21" s="22">
        <v>0.9</v>
      </c>
      <c r="N21" s="14">
        <v>300000</v>
      </c>
      <c r="O21" s="14">
        <v>6717626</v>
      </c>
      <c r="P21" s="14">
        <v>4738220</v>
      </c>
      <c r="Q21" s="14">
        <v>81831643</v>
      </c>
      <c r="R21" s="14">
        <v>57473732</v>
      </c>
    </row>
    <row r="22" spans="2:18">
      <c r="B22" s="23">
        <v>14</v>
      </c>
      <c r="C22" s="24">
        <v>14</v>
      </c>
      <c r="D22" s="24">
        <v>345251</v>
      </c>
      <c r="E22" s="25">
        <v>5865823</v>
      </c>
      <c r="F22" s="24">
        <v>208858</v>
      </c>
      <c r="G22" s="25">
        <v>7.8</v>
      </c>
      <c r="H22" s="25">
        <v>1629903</v>
      </c>
      <c r="I22" s="25">
        <v>847550</v>
      </c>
      <c r="J22" s="24">
        <v>146201</v>
      </c>
      <c r="K22" s="24">
        <v>62657</v>
      </c>
      <c r="L22" s="26">
        <v>0.6383089635246405</v>
      </c>
      <c r="M22" s="27">
        <v>0.85</v>
      </c>
      <c r="N22" s="25">
        <v>300000</v>
      </c>
      <c r="O22" s="25">
        <v>6713373</v>
      </c>
      <c r="P22" s="25">
        <v>4735030</v>
      </c>
      <c r="Q22" s="25">
        <v>88545016</v>
      </c>
      <c r="R22" s="25">
        <v>62208762</v>
      </c>
    </row>
    <row r="23" spans="2:18">
      <c r="B23">
        <v>15</v>
      </c>
      <c r="C23" s="21">
        <v>15</v>
      </c>
      <c r="D23" s="21">
        <v>344929</v>
      </c>
      <c r="E23" s="14">
        <v>5860348</v>
      </c>
      <c r="F23" s="21">
        <v>243887</v>
      </c>
      <c r="G23" s="12">
        <v>7.79</v>
      </c>
      <c r="H23" s="14">
        <v>1900064</v>
      </c>
      <c r="I23" s="14">
        <v>988034</v>
      </c>
      <c r="J23" s="21">
        <v>170721</v>
      </c>
      <c r="K23" s="21">
        <v>73166</v>
      </c>
      <c r="L23" s="13">
        <v>0.6428584872901145</v>
      </c>
      <c r="M23" s="22">
        <v>0.95</v>
      </c>
      <c r="N23" s="14">
        <v>300000</v>
      </c>
      <c r="O23" s="14">
        <v>6848381</v>
      </c>
      <c r="P23" s="14">
        <v>4836286</v>
      </c>
      <c r="Q23" s="14">
        <v>95393397</v>
      </c>
      <c r="R23" s="14">
        <v>67045048</v>
      </c>
    </row>
    <row r="24" spans="2:18">
      <c r="B24" s="23">
        <v>16</v>
      </c>
      <c r="C24" s="24">
        <v>16</v>
      </c>
      <c r="D24" s="24">
        <v>344609</v>
      </c>
      <c r="E24" s="25">
        <v>5854909</v>
      </c>
      <c r="F24" s="24">
        <v>278272</v>
      </c>
      <c r="G24" s="25">
        <v>7.78</v>
      </c>
      <c r="H24" s="25">
        <v>2164299</v>
      </c>
      <c r="I24" s="25">
        <v>1125435</v>
      </c>
      <c r="J24" s="24">
        <v>194790</v>
      </c>
      <c r="K24" s="24">
        <v>83482</v>
      </c>
      <c r="L24" s="26">
        <v>0.6456496468992149</v>
      </c>
      <c r="M24" s="27">
        <v>1.05</v>
      </c>
      <c r="N24" s="25">
        <v>300000</v>
      </c>
      <c r="O24" s="25">
        <v>6980345</v>
      </c>
      <c r="P24" s="25">
        <v>4935259</v>
      </c>
      <c r="Q24" s="25">
        <v>102373742</v>
      </c>
      <c r="R24" s="25">
        <v>71980306</v>
      </c>
    </row>
    <row r="25" spans="2:18">
      <c r="B25">
        <v>17</v>
      </c>
      <c r="C25" s="21">
        <v>17</v>
      </c>
      <c r="D25" s="21">
        <v>344291</v>
      </c>
      <c r="E25" s="14">
        <v>5849508</v>
      </c>
      <c r="F25" s="21">
        <v>284781</v>
      </c>
      <c r="G25" s="12">
        <v>7.76</v>
      </c>
      <c r="H25" s="14">
        <v>2211202</v>
      </c>
      <c r="I25" s="14">
        <v>1149825</v>
      </c>
      <c r="J25" s="21">
        <v>199347</v>
      </c>
      <c r="K25" s="21">
        <v>85434</v>
      </c>
      <c r="L25" s="13">
        <v>0.6473544104846676</v>
      </c>
      <c r="M25" s="22">
        <v>1.05</v>
      </c>
      <c r="N25" s="14">
        <v>300000</v>
      </c>
      <c r="O25" s="14">
        <v>6999333</v>
      </c>
      <c r="P25" s="14">
        <v>4949500</v>
      </c>
      <c r="Q25" s="14">
        <v>109373075</v>
      </c>
      <c r="R25" s="14">
        <v>76929806</v>
      </c>
    </row>
    <row r="26" spans="2:18">
      <c r="B26" s="23">
        <v>18</v>
      </c>
      <c r="C26" s="24">
        <v>18</v>
      </c>
      <c r="D26" s="24">
        <v>343975</v>
      </c>
      <c r="E26" s="25">
        <v>5844143</v>
      </c>
      <c r="F26" s="24">
        <v>275837</v>
      </c>
      <c r="G26" s="25">
        <v>7.75</v>
      </c>
      <c r="H26" s="25">
        <v>2138153</v>
      </c>
      <c r="I26" s="25">
        <v>1111840</v>
      </c>
      <c r="J26" s="24">
        <v>193086</v>
      </c>
      <c r="K26" s="24">
        <v>82751</v>
      </c>
      <c r="L26" s="26">
        <v>0.6483927949481875</v>
      </c>
      <c r="M26" s="27">
        <v>1</v>
      </c>
      <c r="N26" s="25">
        <v>300000</v>
      </c>
      <c r="O26" s="25">
        <v>6955983</v>
      </c>
      <c r="P26" s="25">
        <v>4916987</v>
      </c>
      <c r="Q26" s="25">
        <v>116329057</v>
      </c>
      <c r="R26" s="25">
        <v>81846793</v>
      </c>
    </row>
    <row r="27" spans="2:18">
      <c r="B27">
        <v>19</v>
      </c>
      <c r="C27" s="21">
        <v>19</v>
      </c>
      <c r="D27" s="21">
        <v>343662</v>
      </c>
      <c r="E27" s="14">
        <v>5838814</v>
      </c>
      <c r="F27" s="21">
        <v>265317</v>
      </c>
      <c r="G27" s="12">
        <v>7.74</v>
      </c>
      <c r="H27" s="14">
        <v>2053149</v>
      </c>
      <c r="I27" s="14">
        <v>1067638</v>
      </c>
      <c r="J27" s="21">
        <v>185722</v>
      </c>
      <c r="K27" s="21">
        <v>79595</v>
      </c>
      <c r="L27" s="13">
        <v>0.6490242315331209</v>
      </c>
      <c r="M27" s="22">
        <v>0.95</v>
      </c>
      <c r="N27" s="14">
        <v>180000</v>
      </c>
      <c r="O27" s="14">
        <v>6906451</v>
      </c>
      <c r="P27" s="14">
        <v>4999839</v>
      </c>
      <c r="Q27" s="14">
        <v>123235509</v>
      </c>
      <c r="R27" s="14">
        <v>86846631</v>
      </c>
    </row>
    <row r="28" spans="2:18">
      <c r="B28" s="23">
        <v>20</v>
      </c>
      <c r="C28" s="24">
        <v>20</v>
      </c>
      <c r="D28" s="24">
        <v>343350</v>
      </c>
      <c r="E28" s="25">
        <v>5833521</v>
      </c>
      <c r="F28" s="24">
        <v>253680</v>
      </c>
      <c r="G28" s="25">
        <v>7.73</v>
      </c>
      <c r="H28" s="25">
        <v>1959795</v>
      </c>
      <c r="I28" s="25">
        <v>1019093</v>
      </c>
      <c r="J28" s="24">
        <v>177576</v>
      </c>
      <c r="K28" s="24">
        <v>76104</v>
      </c>
      <c r="L28" s="26">
        <v>0.6494078167236397</v>
      </c>
      <c r="M28" s="27">
        <v>0.9</v>
      </c>
      <c r="N28" s="25">
        <v>180000</v>
      </c>
      <c r="O28" s="25">
        <v>6852614</v>
      </c>
      <c r="P28" s="25">
        <v>4959461</v>
      </c>
      <c r="Q28" s="25">
        <v>130088123</v>
      </c>
      <c r="R28" s="25">
        <v>91806092</v>
      </c>
    </row>
    <row r="29" spans="2:18">
      <c r="B29">
        <v>21</v>
      </c>
      <c r="C29" s="21">
        <v>21</v>
      </c>
      <c r="D29" s="21">
        <v>343041</v>
      </c>
      <c r="E29" s="14">
        <v>5828264</v>
      </c>
      <c r="F29" s="21">
        <v>283830</v>
      </c>
      <c r="G29" s="12">
        <v>7.71</v>
      </c>
      <c r="H29" s="14">
        <v>2189023</v>
      </c>
      <c r="I29" s="14">
        <v>1138292</v>
      </c>
      <c r="J29" s="21">
        <v>198681</v>
      </c>
      <c r="K29" s="21">
        <v>85149</v>
      </c>
      <c r="L29" s="13">
        <v>0.6496406938859998</v>
      </c>
      <c r="M29" s="22">
        <v>1</v>
      </c>
      <c r="N29" s="14">
        <v>180000</v>
      </c>
      <c r="O29" s="14">
        <v>6966555</v>
      </c>
      <c r="P29" s="14">
        <v>5044917</v>
      </c>
      <c r="Q29" s="14">
        <v>137054678</v>
      </c>
      <c r="R29" s="14">
        <v>96851009</v>
      </c>
    </row>
    <row r="30" spans="2:18">
      <c r="B30" s="23">
        <v>22</v>
      </c>
      <c r="C30" s="24">
        <v>22</v>
      </c>
      <c r="D30" s="24">
        <v>342733</v>
      </c>
      <c r="E30" s="25">
        <v>5823042</v>
      </c>
      <c r="F30" s="24">
        <v>313877</v>
      </c>
      <c r="G30" s="25">
        <v>7.7</v>
      </c>
      <c r="H30" s="25">
        <v>2416687</v>
      </c>
      <c r="I30" s="25">
        <v>1256677</v>
      </c>
      <c r="J30" s="24">
        <v>219714</v>
      </c>
      <c r="K30" s="24">
        <v>94163</v>
      </c>
      <c r="L30" s="26">
        <v>0.6497820224151969</v>
      </c>
      <c r="M30" s="27">
        <v>1.1</v>
      </c>
      <c r="N30" s="25">
        <v>180000</v>
      </c>
      <c r="O30" s="25">
        <v>7079719</v>
      </c>
      <c r="P30" s="25">
        <v>5129789</v>
      </c>
      <c r="Q30" s="25">
        <v>144134397</v>
      </c>
      <c r="R30" s="25">
        <v>101980798</v>
      </c>
    </row>
    <row r="31" spans="2:18">
      <c r="B31">
        <v>23</v>
      </c>
      <c r="C31" s="21">
        <v>23</v>
      </c>
      <c r="D31" s="21">
        <v>342428</v>
      </c>
      <c r="E31" s="14">
        <v>5817855</v>
      </c>
      <c r="F31" s="21">
        <v>329512</v>
      </c>
      <c r="G31" s="12">
        <v>7.69</v>
      </c>
      <c r="H31" s="14">
        <v>2532800</v>
      </c>
      <c r="I31" s="14">
        <v>1317056</v>
      </c>
      <c r="J31" s="21">
        <v>230658</v>
      </c>
      <c r="K31" s="21">
        <v>98854</v>
      </c>
      <c r="L31" s="13">
        <v>0.6498677724642642</v>
      </c>
      <c r="M31" s="22">
        <v>1.15</v>
      </c>
      <c r="N31" s="14">
        <v>180000</v>
      </c>
      <c r="O31" s="14">
        <v>7134911</v>
      </c>
      <c r="P31" s="14">
        <v>5171183</v>
      </c>
      <c r="Q31" s="14">
        <v>151269308</v>
      </c>
      <c r="R31" s="14">
        <v>107151981</v>
      </c>
    </row>
    <row r="32" spans="2:18">
      <c r="B32" s="23">
        <v>24</v>
      </c>
      <c r="C32" s="24">
        <v>24</v>
      </c>
      <c r="D32" s="24">
        <v>342125</v>
      </c>
      <c r="E32" s="25">
        <v>5812704</v>
      </c>
      <c r="F32" s="24">
        <v>316238</v>
      </c>
      <c r="G32" s="25">
        <v>7.67</v>
      </c>
      <c r="H32" s="25">
        <v>2426685</v>
      </c>
      <c r="I32" s="25">
        <v>1261876</v>
      </c>
      <c r="J32" s="24">
        <v>221367</v>
      </c>
      <c r="K32" s="24">
        <v>94871</v>
      </c>
      <c r="L32" s="26">
        <v>0.6499197935256089</v>
      </c>
      <c r="M32" s="27">
        <v>1.1</v>
      </c>
      <c r="N32" s="25">
        <v>180000</v>
      </c>
      <c r="O32" s="25">
        <v>7074580</v>
      </c>
      <c r="P32" s="25">
        <v>5125935</v>
      </c>
      <c r="Q32" s="25">
        <v>158343888</v>
      </c>
      <c r="R32" s="25">
        <v>112277916</v>
      </c>
    </row>
    <row r="33" spans="2:18">
      <c r="B33">
        <v>25</v>
      </c>
      <c r="C33" s="21">
        <v>25</v>
      </c>
      <c r="D33" s="21">
        <v>341824</v>
      </c>
      <c r="E33" s="14">
        <v>5807587</v>
      </c>
      <c r="F33" s="21">
        <v>259453</v>
      </c>
      <c r="G33" s="12">
        <v>7.66</v>
      </c>
      <c r="H33" s="14">
        <v>1987585</v>
      </c>
      <c r="I33" s="14">
        <v>1033544</v>
      </c>
      <c r="J33" s="21">
        <v>181617</v>
      </c>
      <c r="K33" s="21">
        <v>77836</v>
      </c>
      <c r="L33" s="13">
        <v>0.6499513499521181</v>
      </c>
      <c r="M33" s="22">
        <v>0.9</v>
      </c>
      <c r="N33" s="14">
        <v>180000</v>
      </c>
      <c r="O33" s="14">
        <v>6841131</v>
      </c>
      <c r="P33" s="14">
        <v>4950848</v>
      </c>
      <c r="Q33" s="14">
        <v>165185019</v>
      </c>
      <c r="R33" s="14">
        <v>117228764</v>
      </c>
    </row>
    <row r="34" spans="2:18">
      <c r="B34" s="23">
        <v>26</v>
      </c>
      <c r="C34" s="24">
        <v>26</v>
      </c>
      <c r="D34" s="24">
        <v>341525</v>
      </c>
      <c r="E34" s="25">
        <v>5802505</v>
      </c>
      <c r="F34" s="24">
        <v>245610</v>
      </c>
      <c r="G34" s="25">
        <v>7.65</v>
      </c>
      <c r="H34" s="25">
        <v>1878377</v>
      </c>
      <c r="I34" s="25">
        <v>976756</v>
      </c>
      <c r="J34" s="24">
        <v>171927</v>
      </c>
      <c r="K34" s="24">
        <v>73683</v>
      </c>
      <c r="L34" s="26">
        <v>0.6499704913853435</v>
      </c>
      <c r="M34" s="27">
        <v>0.85</v>
      </c>
      <c r="N34" s="25">
        <v>180000</v>
      </c>
      <c r="O34" s="25">
        <v>6779261</v>
      </c>
      <c r="P34" s="25">
        <v>4904446</v>
      </c>
      <c r="Q34" s="25">
        <v>171964280</v>
      </c>
      <c r="R34" s="25">
        <v>122133210</v>
      </c>
    </row>
    <row r="35" spans="2:18">
      <c r="B35">
        <v>27</v>
      </c>
      <c r="C35" s="21">
        <v>27</v>
      </c>
      <c r="D35" s="21">
        <v>341228</v>
      </c>
      <c r="E35" s="14">
        <v>5797457</v>
      </c>
      <c r="F35" s="21">
        <v>275063</v>
      </c>
      <c r="G35" s="12">
        <v>7.63</v>
      </c>
      <c r="H35" s="14">
        <v>2100091</v>
      </c>
      <c r="I35" s="14">
        <v>1092047</v>
      </c>
      <c r="J35" s="21">
        <v>192544</v>
      </c>
      <c r="K35" s="21">
        <v>82519</v>
      </c>
      <c r="L35" s="13">
        <v>0.6499821018007755</v>
      </c>
      <c r="M35" s="22">
        <v>0.95</v>
      </c>
      <c r="N35" s="14">
        <v>180000</v>
      </c>
      <c r="O35" s="14">
        <v>6889504</v>
      </c>
      <c r="P35" s="14">
        <v>4987128</v>
      </c>
      <c r="Q35" s="14">
        <v>178853784</v>
      </c>
      <c r="R35" s="14">
        <v>127120338</v>
      </c>
    </row>
    <row r="36" spans="2:18">
      <c r="B36" s="23">
        <v>28</v>
      </c>
      <c r="C36" s="24">
        <v>28</v>
      </c>
      <c r="D36" s="24">
        <v>340932</v>
      </c>
      <c r="E36" s="25">
        <v>5792443</v>
      </c>
      <c r="F36" s="24">
        <v>304570</v>
      </c>
      <c r="G36" s="25">
        <v>7.62</v>
      </c>
      <c r="H36" s="25">
        <v>2321462</v>
      </c>
      <c r="I36" s="25">
        <v>1207160</v>
      </c>
      <c r="J36" s="24">
        <v>213199</v>
      </c>
      <c r="K36" s="24">
        <v>91371</v>
      </c>
      <c r="L36" s="26">
        <v>0.6499891440757988</v>
      </c>
      <c r="M36" s="27">
        <v>1.05</v>
      </c>
      <c r="N36" s="25">
        <v>180000</v>
      </c>
      <c r="O36" s="25">
        <v>6999603</v>
      </c>
      <c r="P36" s="25">
        <v>5069703</v>
      </c>
      <c r="Q36" s="25">
        <v>185853388</v>
      </c>
      <c r="R36" s="25">
        <v>132190041</v>
      </c>
    </row>
    <row r="37" spans="2:18">
      <c r="B37">
        <v>29</v>
      </c>
      <c r="C37" s="21">
        <v>29</v>
      </c>
      <c r="D37" s="21">
        <v>340639</v>
      </c>
      <c r="E37" s="14">
        <v>5787463</v>
      </c>
      <c r="F37" s="21">
        <v>305077</v>
      </c>
      <c r="G37" s="12">
        <v>7.61</v>
      </c>
      <c r="H37" s="14">
        <v>2321416</v>
      </c>
      <c r="I37" s="14">
        <v>1207136</v>
      </c>
      <c r="J37" s="21">
        <v>213554</v>
      </c>
      <c r="K37" s="21">
        <v>91523</v>
      </c>
      <c r="L37" s="13">
        <v>0.6499934155058624</v>
      </c>
      <c r="M37" s="22">
        <v>1.05</v>
      </c>
      <c r="N37" s="14">
        <v>180000</v>
      </c>
      <c r="O37" s="14">
        <v>6994599</v>
      </c>
      <c r="P37" s="14">
        <v>5065950</v>
      </c>
      <c r="Q37" s="14">
        <v>192847987</v>
      </c>
      <c r="R37" s="14">
        <v>137255990</v>
      </c>
    </row>
    <row r="38" spans="2:18">
      <c r="B38" s="23">
        <v>30</v>
      </c>
      <c r="C38" s="24">
        <v>30</v>
      </c>
      <c r="D38" s="24">
        <v>340348</v>
      </c>
      <c r="E38" s="25">
        <v>5782517</v>
      </c>
      <c r="F38" s="24">
        <v>291002</v>
      </c>
      <c r="G38" s="25">
        <v>7.6</v>
      </c>
      <c r="H38" s="25">
        <v>2210586</v>
      </c>
      <c r="I38" s="25">
        <v>1149505</v>
      </c>
      <c r="J38" s="24">
        <v>203701</v>
      </c>
      <c r="K38" s="24">
        <v>87300</v>
      </c>
      <c r="L38" s="26">
        <v>0.6499960062865086</v>
      </c>
      <c r="M38" s="27">
        <v>1</v>
      </c>
      <c r="N38" s="25">
        <v>180000</v>
      </c>
      <c r="O38" s="25">
        <v>6932021</v>
      </c>
      <c r="P38" s="25">
        <v>5019016</v>
      </c>
      <c r="Q38" s="25">
        <v>199780008</v>
      </c>
      <c r="R38" s="25">
        <v>142275006</v>
      </c>
    </row>
    <row r="39" spans="2:18">
      <c r="B39">
        <v>31</v>
      </c>
      <c r="C39" s="21">
        <v>31</v>
      </c>
      <c r="D39" s="21">
        <v>340059</v>
      </c>
      <c r="E39" s="14">
        <v>5777604</v>
      </c>
      <c r="F39" s="21">
        <v>276860</v>
      </c>
      <c r="G39" s="12">
        <v>7.58</v>
      </c>
      <c r="H39" s="14">
        <v>2099619</v>
      </c>
      <c r="I39" s="14">
        <v>1091802</v>
      </c>
      <c r="J39" s="21">
        <v>193802</v>
      </c>
      <c r="K39" s="21">
        <v>83058</v>
      </c>
      <c r="L39" s="13">
        <v>0.6499975776844653</v>
      </c>
      <c r="M39" s="22">
        <v>0.95</v>
      </c>
      <c r="N39" s="14">
        <v>180000</v>
      </c>
      <c r="O39" s="14">
        <v>6869405</v>
      </c>
      <c r="P39" s="14">
        <v>4972054</v>
      </c>
      <c r="Q39" s="14">
        <v>206649413</v>
      </c>
      <c r="R39" s="14">
        <v>147247060</v>
      </c>
    </row>
    <row r="40" spans="2:18">
      <c r="B40" s="23">
        <v>32</v>
      </c>
      <c r="C40" s="24">
        <v>32</v>
      </c>
      <c r="D40" s="24">
        <v>339772</v>
      </c>
      <c r="E40" s="25">
        <v>5772724</v>
      </c>
      <c r="F40" s="24">
        <v>262660</v>
      </c>
      <c r="G40" s="25">
        <v>7.57</v>
      </c>
      <c r="H40" s="25">
        <v>1988585</v>
      </c>
      <c r="I40" s="25">
        <v>1034064</v>
      </c>
      <c r="J40" s="24">
        <v>183862</v>
      </c>
      <c r="K40" s="24">
        <v>78798</v>
      </c>
      <c r="L40" s="26">
        <v>0.6499985307892064</v>
      </c>
      <c r="M40" s="27">
        <v>0.9</v>
      </c>
      <c r="N40" s="25">
        <v>180000</v>
      </c>
      <c r="O40" s="25">
        <v>6806788</v>
      </c>
      <c r="P40" s="25">
        <v>4925091</v>
      </c>
      <c r="Q40" s="25">
        <v>213456201</v>
      </c>
      <c r="R40" s="25">
        <v>152172151</v>
      </c>
    </row>
    <row r="41" spans="2:18">
      <c r="B41">
        <v>33</v>
      </c>
      <c r="C41" s="21">
        <v>33</v>
      </c>
      <c r="D41" s="21">
        <v>339487</v>
      </c>
      <c r="E41" s="14">
        <v>5767877</v>
      </c>
      <c r="F41" s="21">
        <v>292247</v>
      </c>
      <c r="G41" s="12">
        <v>7.56</v>
      </c>
      <c r="H41" s="14">
        <v>2208862</v>
      </c>
      <c r="I41" s="14">
        <v>1148608</v>
      </c>
      <c r="J41" s="21">
        <v>204573</v>
      </c>
      <c r="K41" s="21">
        <v>87674</v>
      </c>
      <c r="L41" s="13">
        <v>0.6499991088778155</v>
      </c>
      <c r="M41" s="22">
        <v>1</v>
      </c>
      <c r="N41" s="14">
        <v>180000</v>
      </c>
      <c r="O41" s="14">
        <v>6916485</v>
      </c>
      <c r="P41" s="14">
        <v>5007364</v>
      </c>
      <c r="Q41" s="14">
        <v>220372686</v>
      </c>
      <c r="R41" s="14">
        <v>157179514</v>
      </c>
    </row>
    <row r="42" spans="2:18">
      <c r="B42" s="23">
        <v>34</v>
      </c>
      <c r="C42" s="24">
        <v>34</v>
      </c>
      <c r="D42" s="24">
        <v>339203</v>
      </c>
      <c r="E42" s="25">
        <v>5763062</v>
      </c>
      <c r="F42" s="24">
        <v>321905</v>
      </c>
      <c r="G42" s="25">
        <v>7.55</v>
      </c>
      <c r="H42" s="25">
        <v>2428931</v>
      </c>
      <c r="I42" s="25">
        <v>1263044</v>
      </c>
      <c r="J42" s="24">
        <v>225334</v>
      </c>
      <c r="K42" s="24">
        <v>96572</v>
      </c>
      <c r="L42" s="26">
        <v>0.649999459506782</v>
      </c>
      <c r="M42" s="27">
        <v>1.1</v>
      </c>
      <c r="N42" s="25">
        <v>180000</v>
      </c>
      <c r="O42" s="25">
        <v>7026107</v>
      </c>
      <c r="P42" s="25">
        <v>5089580</v>
      </c>
      <c r="Q42" s="25">
        <v>227398792</v>
      </c>
      <c r="R42" s="25">
        <v>162269094</v>
      </c>
    </row>
    <row r="43" spans="2:18">
      <c r="B43">
        <v>35</v>
      </c>
      <c r="C43" s="21">
        <v>35</v>
      </c>
      <c r="D43" s="21">
        <v>338922</v>
      </c>
      <c r="E43" s="14">
        <v>5758281</v>
      </c>
      <c r="F43" s="21">
        <v>336984</v>
      </c>
      <c r="G43" s="12">
        <v>7.53</v>
      </c>
      <c r="H43" s="14">
        <v>2538428</v>
      </c>
      <c r="I43" s="14">
        <v>1319982</v>
      </c>
      <c r="J43" s="21">
        <v>235888</v>
      </c>
      <c r="K43" s="21">
        <v>101095</v>
      </c>
      <c r="L43" s="13">
        <v>0.6499996721741848</v>
      </c>
      <c r="M43" s="22">
        <v>1.15</v>
      </c>
      <c r="N43" s="14">
        <v>180000</v>
      </c>
      <c r="O43" s="14">
        <v>7078263</v>
      </c>
      <c r="P43" s="14">
        <v>5128697</v>
      </c>
      <c r="Q43" s="14">
        <v>234477056</v>
      </c>
      <c r="R43" s="14">
        <v>167397792</v>
      </c>
    </row>
    <row r="44" spans="2:18">
      <c r="B44" s="23">
        <v>36</v>
      </c>
      <c r="C44" s="24">
        <v>36</v>
      </c>
      <c r="D44" s="24">
        <v>338642</v>
      </c>
      <c r="E44" s="25">
        <v>5753531</v>
      </c>
      <c r="F44" s="24">
        <v>322754</v>
      </c>
      <c r="G44" s="25">
        <v>7.52</v>
      </c>
      <c r="H44" s="25">
        <v>2427153</v>
      </c>
      <c r="I44" s="25">
        <v>1262120</v>
      </c>
      <c r="J44" s="24">
        <v>225928</v>
      </c>
      <c r="K44" s="24">
        <v>96826</v>
      </c>
      <c r="L44" s="26">
        <v>0.6499998011635525</v>
      </c>
      <c r="M44" s="27">
        <v>1.1</v>
      </c>
      <c r="N44" s="25">
        <v>180000</v>
      </c>
      <c r="O44" s="25">
        <v>7015651</v>
      </c>
      <c r="P44" s="25">
        <v>5081738</v>
      </c>
      <c r="Q44" s="25">
        <v>241492706</v>
      </c>
      <c r="R44" s="25">
        <v>172479530</v>
      </c>
    </row>
    <row r="45" spans="2:18">
      <c r="B45">
        <v>37</v>
      </c>
      <c r="C45" s="21">
        <v>37</v>
      </c>
      <c r="D45" s="21">
        <v>338365</v>
      </c>
      <c r="E45" s="14">
        <v>5748814</v>
      </c>
      <c r="F45" s="21">
        <v>264415</v>
      </c>
      <c r="G45" s="12">
        <v>7.51</v>
      </c>
      <c r="H45" s="14">
        <v>1985086</v>
      </c>
      <c r="I45" s="14">
        <v>1032245</v>
      </c>
      <c r="J45" s="21">
        <v>185090</v>
      </c>
      <c r="K45" s="21">
        <v>79324</v>
      </c>
      <c r="L45" s="13">
        <v>0.6499998793995838</v>
      </c>
      <c r="M45" s="22">
        <v>0.9</v>
      </c>
      <c r="N45" s="14">
        <v>180000</v>
      </c>
      <c r="O45" s="14">
        <v>6781059</v>
      </c>
      <c r="P45" s="14">
        <v>4905794</v>
      </c>
      <c r="Q45" s="14">
        <v>248273765</v>
      </c>
      <c r="R45" s="14">
        <v>177385324</v>
      </c>
    </row>
    <row r="46" spans="2:18">
      <c r="B46" s="23">
        <v>38</v>
      </c>
      <c r="C46" s="24">
        <v>38</v>
      </c>
      <c r="D46" s="24">
        <v>338089</v>
      </c>
      <c r="E46" s="25">
        <v>5744128</v>
      </c>
      <c r="F46" s="24">
        <v>250047</v>
      </c>
      <c r="G46" s="25">
        <v>7.49</v>
      </c>
      <c r="H46" s="25">
        <v>1874063</v>
      </c>
      <c r="I46" s="25">
        <v>974513</v>
      </c>
      <c r="J46" s="24">
        <v>175033</v>
      </c>
      <c r="K46" s="24">
        <v>75014</v>
      </c>
      <c r="L46" s="26">
        <v>0.6499999268521447</v>
      </c>
      <c r="M46" s="27">
        <v>0.85</v>
      </c>
      <c r="N46" s="25">
        <v>180000</v>
      </c>
      <c r="O46" s="25">
        <v>6718641</v>
      </c>
      <c r="P46" s="25">
        <v>4858981</v>
      </c>
      <c r="Q46" s="25">
        <v>254992406</v>
      </c>
      <c r="R46" s="25">
        <v>182244304</v>
      </c>
    </row>
    <row r="47" spans="2:18">
      <c r="B47">
        <v>39</v>
      </c>
      <c r="C47" s="21">
        <v>39</v>
      </c>
      <c r="D47" s="21">
        <v>337815</v>
      </c>
      <c r="E47" s="14">
        <v>5739474</v>
      </c>
      <c r="F47" s="21">
        <v>279823</v>
      </c>
      <c r="G47" s="12">
        <v>7.48</v>
      </c>
      <c r="H47" s="14">
        <v>2093699</v>
      </c>
      <c r="I47" s="14">
        <v>1088724</v>
      </c>
      <c r="J47" s="21">
        <v>195876</v>
      </c>
      <c r="K47" s="21">
        <v>83947</v>
      </c>
      <c r="L47" s="13">
        <v>0.6499999556335812</v>
      </c>
      <c r="M47" s="22">
        <v>0.95</v>
      </c>
      <c r="N47" s="14">
        <v>180000</v>
      </c>
      <c r="O47" s="14">
        <v>6828198</v>
      </c>
      <c r="P47" s="14">
        <v>4941148</v>
      </c>
      <c r="Q47" s="14">
        <v>261820604</v>
      </c>
      <c r="R47" s="14">
        <v>187185453</v>
      </c>
    </row>
    <row r="48" spans="2:18">
      <c r="B48" s="23">
        <v>40</v>
      </c>
      <c r="C48" s="24">
        <v>40</v>
      </c>
      <c r="D48" s="24">
        <v>337543</v>
      </c>
      <c r="E48" s="25">
        <v>5734852</v>
      </c>
      <c r="F48" s="24">
        <v>309673</v>
      </c>
      <c r="G48" s="25">
        <v>7.47</v>
      </c>
      <c r="H48" s="25">
        <v>2313146</v>
      </c>
      <c r="I48" s="25">
        <v>1202836</v>
      </c>
      <c r="J48" s="24">
        <v>216771</v>
      </c>
      <c r="K48" s="24">
        <v>92902</v>
      </c>
      <c r="L48" s="26">
        <v>0.6499999730904059</v>
      </c>
      <c r="M48" s="27">
        <v>1.05</v>
      </c>
      <c r="N48" s="25">
        <v>180000</v>
      </c>
      <c r="O48" s="25">
        <v>6937688</v>
      </c>
      <c r="P48" s="25">
        <v>5023266</v>
      </c>
      <c r="Q48" s="25">
        <v>268758291</v>
      </c>
      <c r="R48" s="25">
        <v>192208719</v>
      </c>
    </row>
    <row r="49" spans="2:18">
      <c r="B49">
        <v>41</v>
      </c>
      <c r="C49" s="21">
        <v>41</v>
      </c>
      <c r="D49" s="21">
        <v>337273</v>
      </c>
      <c r="E49" s="14">
        <v>5730260</v>
      </c>
      <c r="F49" s="21">
        <v>310067</v>
      </c>
      <c r="G49" s="12">
        <v>7.46</v>
      </c>
      <c r="H49" s="14">
        <v>2312194</v>
      </c>
      <c r="I49" s="14">
        <v>1202341</v>
      </c>
      <c r="J49" s="21">
        <v>217047</v>
      </c>
      <c r="K49" s="21">
        <v>93020</v>
      </c>
      <c r="L49" s="13">
        <v>0.6499999836785059</v>
      </c>
      <c r="M49" s="22">
        <v>1.05</v>
      </c>
      <c r="N49" s="14">
        <v>180000</v>
      </c>
      <c r="O49" s="14">
        <v>6932601</v>
      </c>
      <c r="P49" s="14">
        <v>5019451</v>
      </c>
      <c r="Q49" s="14">
        <v>275690893</v>
      </c>
      <c r="R49" s="14">
        <v>197228170</v>
      </c>
    </row>
    <row r="50" spans="2:18">
      <c r="B50" s="23">
        <v>42</v>
      </c>
      <c r="C50" s="24">
        <v>42</v>
      </c>
      <c r="D50" s="24">
        <v>337004</v>
      </c>
      <c r="E50" s="25">
        <v>5725700</v>
      </c>
      <c r="F50" s="24">
        <v>295676</v>
      </c>
      <c r="G50" s="25">
        <v>7.44</v>
      </c>
      <c r="H50" s="25">
        <v>2201175</v>
      </c>
      <c r="I50" s="25">
        <v>1144611</v>
      </c>
      <c r="J50" s="24">
        <v>206973</v>
      </c>
      <c r="K50" s="24">
        <v>88703</v>
      </c>
      <c r="L50" s="26">
        <v>0.6499999901005133</v>
      </c>
      <c r="M50" s="27">
        <v>1</v>
      </c>
      <c r="N50" s="25">
        <v>180000</v>
      </c>
      <c r="O50" s="25">
        <v>6870311</v>
      </c>
      <c r="P50" s="25">
        <v>4972733</v>
      </c>
      <c r="Q50" s="25">
        <v>282561204</v>
      </c>
      <c r="R50" s="25">
        <v>202200903</v>
      </c>
    </row>
    <row r="51" spans="2:18">
      <c r="B51">
        <v>43</v>
      </c>
      <c r="C51" s="21">
        <v>43</v>
      </c>
      <c r="D51" s="21">
        <v>336738</v>
      </c>
      <c r="E51" s="14">
        <v>5721170</v>
      </c>
      <c r="F51" s="21">
        <v>281248</v>
      </c>
      <c r="G51" s="12">
        <v>7.43</v>
      </c>
      <c r="H51" s="14">
        <v>2090242</v>
      </c>
      <c r="I51" s="14">
        <v>1086926</v>
      </c>
      <c r="J51" s="21">
        <v>196874</v>
      </c>
      <c r="K51" s="21">
        <v>84374</v>
      </c>
      <c r="L51" s="13">
        <v>0.6499999939956578</v>
      </c>
      <c r="M51" s="22">
        <v>0.95</v>
      </c>
      <c r="N51" s="14">
        <v>180000</v>
      </c>
      <c r="O51" s="14">
        <v>6808096</v>
      </c>
      <c r="P51" s="14">
        <v>4926072</v>
      </c>
      <c r="Q51" s="14">
        <v>289369300</v>
      </c>
      <c r="R51" s="14">
        <v>207126975</v>
      </c>
    </row>
    <row r="52" spans="2:18">
      <c r="B52" s="23">
        <v>44</v>
      </c>
      <c r="C52" s="24">
        <v>44</v>
      </c>
      <c r="D52" s="24">
        <v>336473</v>
      </c>
      <c r="E52" s="25">
        <v>5716671</v>
      </c>
      <c r="F52" s="24">
        <v>266782</v>
      </c>
      <c r="G52" s="25">
        <v>7.42</v>
      </c>
      <c r="H52" s="25">
        <v>1979396</v>
      </c>
      <c r="I52" s="25">
        <v>1029286</v>
      </c>
      <c r="J52" s="24">
        <v>186748</v>
      </c>
      <c r="K52" s="24">
        <v>80035</v>
      </c>
      <c r="L52" s="26">
        <v>0.6499999963581824</v>
      </c>
      <c r="M52" s="27">
        <v>0.9</v>
      </c>
      <c r="N52" s="25">
        <v>180000</v>
      </c>
      <c r="O52" s="25">
        <v>6745957</v>
      </c>
      <c r="P52" s="25">
        <v>4879468</v>
      </c>
      <c r="Q52" s="25">
        <v>296115258</v>
      </c>
      <c r="R52" s="25">
        <v>212006443</v>
      </c>
    </row>
    <row r="53" spans="2:18">
      <c r="B53">
        <v>45</v>
      </c>
      <c r="C53" s="21">
        <v>45</v>
      </c>
      <c r="D53" s="21">
        <v>336210</v>
      </c>
      <c r="E53" s="14">
        <v>5712203</v>
      </c>
      <c r="F53" s="21">
        <v>296799</v>
      </c>
      <c r="G53" s="12">
        <v>7.41</v>
      </c>
      <c r="H53" s="14">
        <v>2198399</v>
      </c>
      <c r="I53" s="14">
        <v>1143167</v>
      </c>
      <c r="J53" s="21">
        <v>207759</v>
      </c>
      <c r="K53" s="21">
        <v>89040</v>
      </c>
      <c r="L53" s="13">
        <v>0.6499999977911259</v>
      </c>
      <c r="M53" s="22">
        <v>1</v>
      </c>
      <c r="N53" s="14">
        <v>180000</v>
      </c>
      <c r="O53" s="14">
        <v>6855370</v>
      </c>
      <c r="P53" s="14">
        <v>4961528</v>
      </c>
      <c r="Q53" s="14">
        <v>302970628</v>
      </c>
      <c r="R53" s="14">
        <v>216967971</v>
      </c>
    </row>
    <row r="54" spans="2:18">
      <c r="B54" s="23">
        <v>46</v>
      </c>
      <c r="C54" s="24">
        <v>46</v>
      </c>
      <c r="D54" s="24">
        <v>335948</v>
      </c>
      <c r="E54" s="25">
        <v>5707764</v>
      </c>
      <c r="F54" s="24">
        <v>326890</v>
      </c>
      <c r="G54" s="25">
        <v>7.39</v>
      </c>
      <c r="H54" s="25">
        <v>2417211</v>
      </c>
      <c r="I54" s="25">
        <v>1256950</v>
      </c>
      <c r="J54" s="24">
        <v>228823</v>
      </c>
      <c r="K54" s="24">
        <v>98067</v>
      </c>
      <c r="L54" s="26">
        <v>0.6499999986602502</v>
      </c>
      <c r="M54" s="27">
        <v>1.1</v>
      </c>
      <c r="N54" s="25">
        <v>180000</v>
      </c>
      <c r="O54" s="25">
        <v>6964714</v>
      </c>
      <c r="P54" s="25">
        <v>5043535</v>
      </c>
      <c r="Q54" s="25">
        <v>309935342</v>
      </c>
      <c r="R54" s="25">
        <v>222011506</v>
      </c>
    </row>
    <row r="55" spans="2:18">
      <c r="B55">
        <v>47</v>
      </c>
      <c r="C55" s="21">
        <v>47</v>
      </c>
      <c r="D55" s="21">
        <v>335689</v>
      </c>
      <c r="E55" s="14">
        <v>5703356</v>
      </c>
      <c r="F55" s="21">
        <v>342178</v>
      </c>
      <c r="G55" s="12">
        <v>7.38</v>
      </c>
      <c r="H55" s="14">
        <v>2526005</v>
      </c>
      <c r="I55" s="14">
        <v>1313522</v>
      </c>
      <c r="J55" s="21">
        <v>239525</v>
      </c>
      <c r="K55" s="21">
        <v>102653</v>
      </c>
      <c r="L55" s="13">
        <v>0.6499999991874007</v>
      </c>
      <c r="M55" s="22">
        <v>1.15</v>
      </c>
      <c r="N55" s="14">
        <v>180000</v>
      </c>
      <c r="O55" s="14">
        <v>7016878</v>
      </c>
      <c r="P55" s="14">
        <v>5082659</v>
      </c>
      <c r="Q55" s="14">
        <v>316952220</v>
      </c>
      <c r="R55" s="14">
        <v>227094165</v>
      </c>
    </row>
    <row r="56" spans="2:18">
      <c r="B56" s="23">
        <v>48</v>
      </c>
      <c r="C56" s="24">
        <v>48</v>
      </c>
      <c r="D56" s="24">
        <v>335431</v>
      </c>
      <c r="E56" s="25">
        <v>5698977</v>
      </c>
      <c r="F56" s="24">
        <v>327711</v>
      </c>
      <c r="G56" s="25">
        <v>7.37</v>
      </c>
      <c r="H56" s="25">
        <v>2415142</v>
      </c>
      <c r="I56" s="25">
        <v>1255874</v>
      </c>
      <c r="J56" s="24">
        <v>229398</v>
      </c>
      <c r="K56" s="24">
        <v>98313</v>
      </c>
      <c r="L56" s="26">
        <v>0.6499999995071335</v>
      </c>
      <c r="M56" s="27">
        <v>1.1</v>
      </c>
      <c r="N56" s="25">
        <v>180000</v>
      </c>
      <c r="O56" s="25">
        <v>6954851</v>
      </c>
      <c r="P56" s="25">
        <v>5036138</v>
      </c>
      <c r="Q56" s="25">
        <v>323907071</v>
      </c>
      <c r="R56" s="25">
        <v>232130303</v>
      </c>
    </row>
    <row r="57" spans="2:18">
      <c r="B57">
        <v>49</v>
      </c>
      <c r="C57" s="21">
        <v>49</v>
      </c>
      <c r="D57" s="21">
        <v>335175</v>
      </c>
      <c r="E57" s="14">
        <v>5694628</v>
      </c>
      <c r="F57" s="21">
        <v>268464</v>
      </c>
      <c r="G57" s="12">
        <v>7.36</v>
      </c>
      <c r="H57" s="14">
        <v>1975174</v>
      </c>
      <c r="I57" s="14">
        <v>1027091</v>
      </c>
      <c r="J57" s="21">
        <v>187925</v>
      </c>
      <c r="K57" s="21">
        <v>80539</v>
      </c>
      <c r="L57" s="13">
        <v>0.6499999997010615</v>
      </c>
      <c r="M57" s="22">
        <v>0.9</v>
      </c>
      <c r="N57" s="14">
        <v>180000</v>
      </c>
      <c r="O57" s="14">
        <v>6721718</v>
      </c>
      <c r="P57" s="14">
        <v>4861289</v>
      </c>
      <c r="Q57" s="14">
        <v>330628789</v>
      </c>
      <c r="R57" s="14">
        <v>236991592</v>
      </c>
    </row>
    <row r="58" spans="2:18">
      <c r="B58" s="23">
        <v>50</v>
      </c>
      <c r="C58" s="24">
        <v>50</v>
      </c>
      <c r="D58" s="24">
        <v>334921</v>
      </c>
      <c r="E58" s="25">
        <v>5690308</v>
      </c>
      <c r="F58" s="24">
        <v>253866</v>
      </c>
      <c r="G58" s="25">
        <v>7.34</v>
      </c>
      <c r="H58" s="25">
        <v>1864636</v>
      </c>
      <c r="I58" s="25">
        <v>969611</v>
      </c>
      <c r="J58" s="24">
        <v>177707</v>
      </c>
      <c r="K58" s="24">
        <v>76160</v>
      </c>
      <c r="L58" s="26">
        <v>0.6499999998186846</v>
      </c>
      <c r="M58" s="27">
        <v>0.85</v>
      </c>
      <c r="N58" s="25">
        <v>180000</v>
      </c>
      <c r="O58" s="25">
        <v>6659919</v>
      </c>
      <c r="P58" s="25">
        <v>4814939</v>
      </c>
      <c r="Q58" s="25">
        <v>337288708</v>
      </c>
      <c r="R58" s="25">
        <v>241806531</v>
      </c>
    </row>
    <row r="59" spans="2:18">
      <c r="B59">
        <v>51</v>
      </c>
      <c r="C59" s="21">
        <v>51</v>
      </c>
      <c r="D59" s="21">
        <v>334668</v>
      </c>
      <c r="E59" s="14">
        <v>5686017</v>
      </c>
      <c r="F59" s="21">
        <v>284088</v>
      </c>
      <c r="G59" s="12">
        <v>7.33</v>
      </c>
      <c r="H59" s="14">
        <v>2083100</v>
      </c>
      <c r="I59" s="14">
        <v>1083212</v>
      </c>
      <c r="J59" s="21">
        <v>198861</v>
      </c>
      <c r="K59" s="21">
        <v>85226</v>
      </c>
      <c r="L59" s="13">
        <v>0.6499999998900267</v>
      </c>
      <c r="M59" s="22">
        <v>0.95</v>
      </c>
      <c r="N59" s="14">
        <v>180000</v>
      </c>
      <c r="O59" s="14">
        <v>6769229</v>
      </c>
      <c r="P59" s="14">
        <v>4896922</v>
      </c>
      <c r="Q59" s="14">
        <v>344057937</v>
      </c>
      <c r="R59" s="14">
        <v>246703453</v>
      </c>
    </row>
    <row r="60" spans="2:18">
      <c r="B60" s="23">
        <v>52</v>
      </c>
      <c r="C60" s="24">
        <v>52</v>
      </c>
      <c r="D60" s="24">
        <v>334418</v>
      </c>
      <c r="E60" s="25">
        <v>5681755</v>
      </c>
      <c r="F60" s="24">
        <v>314384</v>
      </c>
      <c r="G60" s="25">
        <v>7.32</v>
      </c>
      <c r="H60" s="25">
        <v>2301371</v>
      </c>
      <c r="I60" s="25">
        <v>1196713</v>
      </c>
      <c r="J60" s="24">
        <v>220069</v>
      </c>
      <c r="K60" s="24">
        <v>94315</v>
      </c>
      <c r="L60" s="26">
        <v>0.6499999999332978</v>
      </c>
      <c r="M60" s="27">
        <v>1.05</v>
      </c>
      <c r="N60" s="25">
        <v>180000</v>
      </c>
      <c r="O60" s="25">
        <v>6878468</v>
      </c>
      <c r="P60" s="25">
        <v>4978851</v>
      </c>
      <c r="Q60" s="25">
        <v>350936405</v>
      </c>
      <c r="R60" s="25">
        <v>251682304</v>
      </c>
    </row>
    <row r="61" spans="2:18">
      <c r="B61">
        <v>53</v>
      </c>
      <c r="C61" s="21">
        <v>53</v>
      </c>
      <c r="D61" s="21">
        <v>334168</v>
      </c>
      <c r="E61" s="14">
        <v>5677522</v>
      </c>
      <c r="F61" s="21">
        <v>314776</v>
      </c>
      <c r="G61" s="12">
        <v>7.31</v>
      </c>
      <c r="H61" s="14">
        <v>2300365</v>
      </c>
      <c r="I61" s="14">
        <v>1196190</v>
      </c>
      <c r="J61" s="21">
        <v>220343</v>
      </c>
      <c r="K61" s="21">
        <v>94433</v>
      </c>
      <c r="L61" s="13">
        <v>0.6499999999595431</v>
      </c>
      <c r="M61" s="22">
        <v>1.05</v>
      </c>
      <c r="N61" s="14">
        <v>180000</v>
      </c>
      <c r="O61" s="14">
        <v>6873712</v>
      </c>
      <c r="P61" s="14">
        <v>4975284</v>
      </c>
      <c r="Q61" s="14">
        <v>357810117</v>
      </c>
      <c r="R61" s="14">
        <v>256657588</v>
      </c>
    </row>
    <row r="62" spans="2:18">
      <c r="B62" s="23">
        <v>54</v>
      </c>
      <c r="C62" s="24">
        <v>54</v>
      </c>
      <c r="D62" s="24">
        <v>333921</v>
      </c>
      <c r="E62" s="25">
        <v>5673318</v>
      </c>
      <c r="F62" s="24">
        <v>300160</v>
      </c>
      <c r="G62" s="25">
        <v>7.3</v>
      </c>
      <c r="H62" s="25">
        <v>2189862</v>
      </c>
      <c r="I62" s="25">
        <v>1138728</v>
      </c>
      <c r="J62" s="24">
        <v>210112</v>
      </c>
      <c r="K62" s="24">
        <v>90048</v>
      </c>
      <c r="L62" s="26">
        <v>0.6499999999754617</v>
      </c>
      <c r="M62" s="27">
        <v>1</v>
      </c>
      <c r="N62" s="25">
        <v>180000</v>
      </c>
      <c r="O62" s="25">
        <v>6812046</v>
      </c>
      <c r="P62" s="25">
        <v>4929035</v>
      </c>
      <c r="Q62" s="25">
        <v>364622164</v>
      </c>
      <c r="R62" s="25">
        <v>261586623</v>
      </c>
    </row>
    <row r="63" spans="2:18">
      <c r="B63">
        <v>55</v>
      </c>
      <c r="C63" s="21">
        <v>55</v>
      </c>
      <c r="D63" s="21">
        <v>333675</v>
      </c>
      <c r="E63" s="14">
        <v>5669142</v>
      </c>
      <c r="F63" s="21">
        <v>285507</v>
      </c>
      <c r="G63" s="12">
        <v>7.28</v>
      </c>
      <c r="H63" s="14">
        <v>2079453</v>
      </c>
      <c r="I63" s="14">
        <v>1081316</v>
      </c>
      <c r="J63" s="21">
        <v>199855</v>
      </c>
      <c r="K63" s="21">
        <v>85652</v>
      </c>
      <c r="L63" s="13">
        <v>0.6499999999851168</v>
      </c>
      <c r="M63" s="22">
        <v>0.95</v>
      </c>
      <c r="N63" s="14">
        <v>180000</v>
      </c>
      <c r="O63" s="14">
        <v>6750457</v>
      </c>
      <c r="P63" s="14">
        <v>4882843</v>
      </c>
      <c r="Q63" s="14">
        <v>371372621</v>
      </c>
      <c r="R63" s="14">
        <v>266469466</v>
      </c>
    </row>
    <row r="64" spans="2:18">
      <c r="B64" s="23">
        <v>56</v>
      </c>
      <c r="C64" s="24">
        <v>56</v>
      </c>
      <c r="D64" s="24">
        <v>333431</v>
      </c>
      <c r="E64" s="25">
        <v>5664994</v>
      </c>
      <c r="F64" s="24">
        <v>270816</v>
      </c>
      <c r="G64" s="25">
        <v>7.27</v>
      </c>
      <c r="H64" s="25">
        <v>1969138</v>
      </c>
      <c r="I64" s="25">
        <v>1023952</v>
      </c>
      <c r="J64" s="24">
        <v>189571</v>
      </c>
      <c r="K64" s="24">
        <v>81245</v>
      </c>
      <c r="L64" s="26">
        <v>0.6499999999909728</v>
      </c>
      <c r="M64" s="27">
        <v>0.9</v>
      </c>
      <c r="N64" s="25">
        <v>180000</v>
      </c>
      <c r="O64" s="25">
        <v>6688945</v>
      </c>
      <c r="P64" s="25">
        <v>4836709</v>
      </c>
      <c r="Q64" s="25">
        <v>378061567</v>
      </c>
      <c r="R64" s="25">
        <v>271306175</v>
      </c>
    </row>
    <row r="65" spans="2:18">
      <c r="B65">
        <v>57</v>
      </c>
      <c r="C65" s="21">
        <v>57</v>
      </c>
      <c r="D65" s="21">
        <v>333189</v>
      </c>
      <c r="E65" s="14">
        <v>5660874</v>
      </c>
      <c r="F65" s="21">
        <v>301280</v>
      </c>
      <c r="G65" s="12">
        <v>7.26</v>
      </c>
      <c r="H65" s="14">
        <v>2186960</v>
      </c>
      <c r="I65" s="14">
        <v>1137219</v>
      </c>
      <c r="J65" s="21">
        <v>210896</v>
      </c>
      <c r="K65" s="21">
        <v>90384</v>
      </c>
      <c r="L65" s="13">
        <v>0.6499999999945247</v>
      </c>
      <c r="M65" s="22">
        <v>1</v>
      </c>
      <c r="N65" s="14">
        <v>180000</v>
      </c>
      <c r="O65" s="14">
        <v>6798093</v>
      </c>
      <c r="P65" s="14">
        <v>4918570</v>
      </c>
      <c r="Q65" s="14">
        <v>384859660</v>
      </c>
      <c r="R65" s="14">
        <v>276224745</v>
      </c>
    </row>
    <row r="66" spans="2:18">
      <c r="B66" s="23">
        <v>58</v>
      </c>
      <c r="C66" s="24">
        <v>58</v>
      </c>
      <c r="D66" s="24">
        <v>332948</v>
      </c>
      <c r="E66" s="25">
        <v>5656782</v>
      </c>
      <c r="F66" s="24">
        <v>331819</v>
      </c>
      <c r="G66" s="25">
        <v>7.25</v>
      </c>
      <c r="H66" s="25">
        <v>2404586</v>
      </c>
      <c r="I66" s="25">
        <v>1250385</v>
      </c>
      <c r="J66" s="24">
        <v>232273</v>
      </c>
      <c r="K66" s="24">
        <v>99546</v>
      </c>
      <c r="L66" s="26">
        <v>0.6499999999966791</v>
      </c>
      <c r="M66" s="27">
        <v>1.1</v>
      </c>
      <c r="N66" s="25">
        <v>180000</v>
      </c>
      <c r="O66" s="25">
        <v>6907166</v>
      </c>
      <c r="P66" s="25">
        <v>5000375</v>
      </c>
      <c r="Q66" s="25">
        <v>391766826</v>
      </c>
      <c r="R66" s="25">
        <v>281225120</v>
      </c>
    </row>
    <row r="67" spans="2:18">
      <c r="B67">
        <v>59</v>
      </c>
      <c r="C67" s="21">
        <v>59</v>
      </c>
      <c r="D67" s="21">
        <v>332708</v>
      </c>
      <c r="E67" s="14">
        <v>5652717</v>
      </c>
      <c r="F67" s="21">
        <v>347331</v>
      </c>
      <c r="G67" s="12">
        <v>7.23</v>
      </c>
      <c r="H67" s="14">
        <v>2512762</v>
      </c>
      <c r="I67" s="14">
        <v>1306636</v>
      </c>
      <c r="J67" s="21">
        <v>243131</v>
      </c>
      <c r="K67" s="21">
        <v>104199</v>
      </c>
      <c r="L67" s="13">
        <v>0.6499999999979857</v>
      </c>
      <c r="M67" s="22">
        <v>1.15</v>
      </c>
      <c r="N67" s="14">
        <v>180000</v>
      </c>
      <c r="O67" s="14">
        <v>6959354</v>
      </c>
      <c r="P67" s="14">
        <v>5039515</v>
      </c>
      <c r="Q67" s="14">
        <v>398726180</v>
      </c>
      <c r="R67" s="14">
        <v>286264635</v>
      </c>
    </row>
    <row r="68" spans="2:18">
      <c r="B68" s="23">
        <v>60</v>
      </c>
      <c r="C68" s="24">
        <v>60</v>
      </c>
      <c r="D68" s="24">
        <v>332471</v>
      </c>
      <c r="E68" s="25">
        <v>5648680</v>
      </c>
      <c r="F68" s="24">
        <v>332640</v>
      </c>
      <c r="G68" s="25">
        <v>7.22</v>
      </c>
      <c r="H68" s="25">
        <v>2402435</v>
      </c>
      <c r="I68" s="25">
        <v>1249266</v>
      </c>
      <c r="J68" s="24">
        <v>232848</v>
      </c>
      <c r="K68" s="24">
        <v>99792</v>
      </c>
      <c r="L68" s="26">
        <v>0.6499999999987783</v>
      </c>
      <c r="M68" s="27">
        <v>1.1</v>
      </c>
      <c r="N68" s="25">
        <v>180000</v>
      </c>
      <c r="O68" s="25">
        <v>6897946</v>
      </c>
      <c r="P68" s="25">
        <v>4993460</v>
      </c>
      <c r="Q68" s="25">
        <v>405624127</v>
      </c>
      <c r="R68" s="25">
        <v>291258095</v>
      </c>
    </row>
  </sheetData>
  <mergeCells count="11">
    <mergeCell ref="B2:M2"/>
    <mergeCell ref="B4:C4"/>
    <mergeCell ref="B5:C5"/>
    <mergeCell ref="D4:E4"/>
    <mergeCell ref="D5:E5"/>
    <mergeCell ref="F4:G4"/>
    <mergeCell ref="F5:G5"/>
    <mergeCell ref="H4:I4"/>
    <mergeCell ref="H5:I5"/>
    <mergeCell ref="J4:K4"/>
    <mergeCell ref="J5:K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6366F1"/>
  </sheetPr>
  <dimension ref="B2:E16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5" width="22.7109375" customWidth="1"/>
  </cols>
  <sheetData>
    <row r="2" spans="2:5">
      <c r="B2" s="1" t="s">
        <v>165</v>
      </c>
      <c r="C2" s="1"/>
      <c r="D2" s="1"/>
      <c r="E2" s="1"/>
    </row>
    <row r="4" spans="2:5">
      <c r="B4" s="3" t="s">
        <v>166</v>
      </c>
      <c r="C4" s="3"/>
      <c r="D4" s="3"/>
      <c r="E4" s="3"/>
    </row>
    <row r="5" spans="2:5">
      <c r="C5" s="10" t="s">
        <v>81</v>
      </c>
      <c r="D5" s="20" t="s">
        <v>82</v>
      </c>
      <c r="E5" s="10" t="s">
        <v>83</v>
      </c>
    </row>
    <row r="6" spans="2:5">
      <c r="B6" s="4" t="s">
        <v>142</v>
      </c>
      <c r="C6" s="14">
        <v>1667702</v>
      </c>
      <c r="D6" s="14">
        <v>4214130</v>
      </c>
      <c r="E6" s="14">
        <v>9585978</v>
      </c>
    </row>
    <row r="7" spans="2:5">
      <c r="B7" s="4" t="s">
        <v>167</v>
      </c>
      <c r="C7" s="14">
        <v>383753888</v>
      </c>
      <c r="D7" s="14">
        <v>405624127</v>
      </c>
      <c r="E7" s="14">
        <v>437726138</v>
      </c>
    </row>
    <row r="8" spans="2:5">
      <c r="B8" s="4" t="s">
        <v>168</v>
      </c>
      <c r="C8" s="14">
        <v>31344863</v>
      </c>
      <c r="D8" s="14">
        <v>58520817</v>
      </c>
      <c r="E8" s="14">
        <v>97856213</v>
      </c>
    </row>
    <row r="9" spans="2:5">
      <c r="B9" s="4" t="s">
        <v>169</v>
      </c>
      <c r="C9" s="14">
        <v>352409025</v>
      </c>
      <c r="D9" s="14">
        <v>347103309</v>
      </c>
      <c r="E9" s="14">
        <v>339869926</v>
      </c>
    </row>
    <row r="10" spans="2:5">
      <c r="B10" s="4" t="s">
        <v>144</v>
      </c>
      <c r="C10" s="14">
        <v>279175416</v>
      </c>
      <c r="D10" s="14">
        <v>291258095</v>
      </c>
      <c r="E10" s="14">
        <v>306694604</v>
      </c>
    </row>
    <row r="11" spans="2:5">
      <c r="B11" s="4" t="s">
        <v>170</v>
      </c>
      <c r="C11" s="13">
        <v>0.08131923084445299</v>
      </c>
      <c r="D11" s="13">
        <v>0.1593937762270391</v>
      </c>
      <c r="E11" s="13">
        <v>0.2512951500412557</v>
      </c>
    </row>
    <row r="12" spans="2:5">
      <c r="B12" s="4" t="s">
        <v>171</v>
      </c>
      <c r="C12" s="13">
        <v>0.1373560637634039</v>
      </c>
      <c r="D12" s="13">
        <v>0.2056014057103039</v>
      </c>
      <c r="E12" s="13">
        <v>0.2744784022056994</v>
      </c>
    </row>
    <row r="13" spans="2:5">
      <c r="B13" s="4" t="s">
        <v>172</v>
      </c>
      <c r="C13" s="13">
        <v>0.02272993622926594</v>
      </c>
      <c r="D13" s="13">
        <v>0.04912111106662167</v>
      </c>
      <c r="E13" s="13">
        <v>0.08381804025739083</v>
      </c>
    </row>
    <row r="14" spans="2:5">
      <c r="B14" s="4" t="s">
        <v>173</v>
      </c>
      <c r="C14" s="13">
        <v>0.6499999999987783</v>
      </c>
      <c r="D14" s="13">
        <v>0.6499999999987783</v>
      </c>
      <c r="E14" s="13">
        <v>0.6499999999987783</v>
      </c>
    </row>
    <row r="15" spans="2:5">
      <c r="B15" s="4" t="s">
        <v>174</v>
      </c>
      <c r="C15" s="14">
        <v>8640000</v>
      </c>
      <c r="D15" s="14">
        <v>12960000</v>
      </c>
      <c r="E15" s="14">
        <v>21600000</v>
      </c>
    </row>
    <row r="16" spans="2:5">
      <c r="B16" s="4" t="s">
        <v>175</v>
      </c>
      <c r="C16" s="14">
        <v>59868750</v>
      </c>
      <c r="D16" s="14">
        <v>59868750</v>
      </c>
      <c r="E16" s="14">
        <v>59868750</v>
      </c>
    </row>
  </sheetData>
  <mergeCells count="2">
    <mergeCell ref="B2:E2"/>
    <mergeCell ref="B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366F1"/>
  </sheetPr>
  <dimension ref="B2:E52"/>
  <sheetViews>
    <sheetView showGridLines="0" workbookViewId="0"/>
  </sheetViews>
  <sheetFormatPr defaultRowHeight="15"/>
  <cols>
    <col min="1" max="1" width="3.7109375" customWidth="1"/>
    <col min="2" max="2" width="34.7109375" customWidth="1"/>
    <col min="3" max="3" width="24.7109375" customWidth="1"/>
    <col min="4" max="4" width="52.7109375" customWidth="1"/>
    <col min="5" max="5" width="42.7109375" customWidth="1"/>
  </cols>
  <sheetData>
    <row r="2" spans="2:5">
      <c r="B2" s="1" t="s">
        <v>176</v>
      </c>
      <c r="C2" s="1"/>
      <c r="D2" s="1"/>
      <c r="E2" s="1"/>
    </row>
    <row r="3" spans="2:5">
      <c r="B3" s="2" t="s">
        <v>177</v>
      </c>
      <c r="C3" s="2"/>
      <c r="D3" s="2"/>
      <c r="E3" s="2"/>
    </row>
    <row r="5" spans="2:5">
      <c r="B5" s="4" t="s">
        <v>178</v>
      </c>
      <c r="C5" s="28" t="s">
        <v>179</v>
      </c>
      <c r="D5" s="11" t="s">
        <v>180</v>
      </c>
    </row>
    <row r="6" spans="2:5">
      <c r="C6" s="29" t="s">
        <v>181</v>
      </c>
      <c r="D6" s="11" t="s">
        <v>182</v>
      </c>
    </row>
    <row r="7" spans="2:5">
      <c r="C7" s="30" t="s">
        <v>183</v>
      </c>
      <c r="D7" s="11" t="s">
        <v>184</v>
      </c>
    </row>
    <row r="8" spans="2:5">
      <c r="C8" s="31" t="s">
        <v>185</v>
      </c>
      <c r="D8" s="11" t="s">
        <v>186</v>
      </c>
    </row>
    <row r="10" spans="2:5">
      <c r="B10" s="3" t="s">
        <v>187</v>
      </c>
      <c r="C10" s="3"/>
      <c r="D10" s="3"/>
      <c r="E10" s="3"/>
    </row>
    <row r="11" spans="2:5">
      <c r="B11" s="10" t="s">
        <v>188</v>
      </c>
      <c r="C11" s="10" t="s">
        <v>189</v>
      </c>
      <c r="D11" s="10" t="s">
        <v>190</v>
      </c>
      <c r="E11" s="10" t="s">
        <v>6</v>
      </c>
    </row>
    <row r="12" spans="2:5">
      <c r="B12" s="4" t="s">
        <v>191</v>
      </c>
      <c r="C12" s="28" t="s">
        <v>192</v>
      </c>
      <c r="D12" s="11" t="s">
        <v>193</v>
      </c>
      <c r="E12" s="28" t="s">
        <v>179</v>
      </c>
    </row>
    <row r="13" spans="2:5">
      <c r="B13" s="4" t="s">
        <v>194</v>
      </c>
      <c r="C13" s="28" t="s">
        <v>195</v>
      </c>
      <c r="D13" s="11" t="s">
        <v>20</v>
      </c>
      <c r="E13" s="28" t="s">
        <v>179</v>
      </c>
    </row>
    <row r="14" spans="2:5">
      <c r="B14" s="4" t="s">
        <v>196</v>
      </c>
      <c r="C14" s="28" t="s">
        <v>197</v>
      </c>
      <c r="D14" s="11" t="s">
        <v>198</v>
      </c>
      <c r="E14" s="28" t="s">
        <v>179</v>
      </c>
    </row>
    <row r="15" spans="2:5">
      <c r="B15" s="4" t="s">
        <v>199</v>
      </c>
      <c r="C15" s="28" t="s">
        <v>200</v>
      </c>
      <c r="D15" s="11" t="s">
        <v>201</v>
      </c>
      <c r="E15" s="28" t="s">
        <v>179</v>
      </c>
    </row>
    <row r="16" spans="2:5">
      <c r="B16" s="4" t="s">
        <v>202</v>
      </c>
      <c r="C16" s="28" t="s">
        <v>203</v>
      </c>
      <c r="D16" s="11" t="s">
        <v>198</v>
      </c>
      <c r="E16" s="28" t="s">
        <v>179</v>
      </c>
    </row>
    <row r="17" spans="2:5">
      <c r="B17" s="4" t="s">
        <v>204</v>
      </c>
      <c r="C17" s="28" t="s">
        <v>205</v>
      </c>
      <c r="D17" s="11" t="s">
        <v>198</v>
      </c>
      <c r="E17" s="28" t="s">
        <v>179</v>
      </c>
    </row>
    <row r="18" spans="2:5">
      <c r="B18" s="4" t="s">
        <v>206</v>
      </c>
      <c r="C18" s="28" t="s">
        <v>207</v>
      </c>
      <c r="D18" s="11" t="s">
        <v>208</v>
      </c>
      <c r="E18" s="28" t="s">
        <v>179</v>
      </c>
    </row>
    <row r="19" spans="2:5">
      <c r="B19" s="4" t="s">
        <v>209</v>
      </c>
      <c r="C19" s="28" t="s">
        <v>210</v>
      </c>
      <c r="D19" s="11" t="s">
        <v>211</v>
      </c>
      <c r="E19" s="28" t="s">
        <v>179</v>
      </c>
    </row>
    <row r="20" spans="2:5">
      <c r="B20" s="4" t="s">
        <v>212</v>
      </c>
      <c r="C20" s="28" t="s">
        <v>213</v>
      </c>
      <c r="D20" s="11" t="s">
        <v>214</v>
      </c>
      <c r="E20" s="28" t="s">
        <v>179</v>
      </c>
    </row>
    <row r="22" spans="2:5">
      <c r="B22" s="3" t="s">
        <v>215</v>
      </c>
      <c r="C22" s="3"/>
      <c r="D22" s="3"/>
      <c r="E22" s="3"/>
    </row>
    <row r="23" spans="2:5">
      <c r="B23" s="10" t="s">
        <v>80</v>
      </c>
      <c r="C23" s="10" t="s">
        <v>216</v>
      </c>
      <c r="D23" s="10" t="s">
        <v>217</v>
      </c>
      <c r="E23" s="10" t="s">
        <v>6</v>
      </c>
    </row>
    <row r="24" spans="2:5">
      <c r="B24" s="4" t="s">
        <v>218</v>
      </c>
      <c r="C24" s="29" t="s">
        <v>219</v>
      </c>
      <c r="D24" s="11" t="s">
        <v>220</v>
      </c>
      <c r="E24" s="29" t="s">
        <v>181</v>
      </c>
    </row>
    <row r="25" spans="2:5">
      <c r="B25" s="4" t="s">
        <v>87</v>
      </c>
      <c r="C25" s="29" t="s">
        <v>221</v>
      </c>
      <c r="D25" s="11" t="s">
        <v>222</v>
      </c>
      <c r="E25" s="29" t="s">
        <v>181</v>
      </c>
    </row>
    <row r="26" spans="2:5">
      <c r="B26" s="4" t="s">
        <v>223</v>
      </c>
      <c r="C26" s="29" t="s">
        <v>224</v>
      </c>
      <c r="D26" s="11" t="s">
        <v>225</v>
      </c>
      <c r="E26" s="29" t="s">
        <v>181</v>
      </c>
    </row>
    <row r="27" spans="2:5">
      <c r="B27" s="4" t="s">
        <v>226</v>
      </c>
      <c r="C27" s="29" t="s">
        <v>227</v>
      </c>
      <c r="D27" s="11" t="s">
        <v>228</v>
      </c>
      <c r="E27" s="29" t="s">
        <v>181</v>
      </c>
    </row>
    <row r="28" spans="2:5">
      <c r="B28" s="4" t="s">
        <v>229</v>
      </c>
      <c r="C28" s="29" t="s">
        <v>230</v>
      </c>
      <c r="D28" s="11" t="s">
        <v>231</v>
      </c>
      <c r="E28" s="29" t="s">
        <v>181</v>
      </c>
    </row>
    <row r="29" spans="2:5">
      <c r="B29" s="4" t="s">
        <v>232</v>
      </c>
      <c r="C29" s="29" t="s">
        <v>233</v>
      </c>
      <c r="D29" s="11" t="s">
        <v>234</v>
      </c>
      <c r="E29" s="29" t="s">
        <v>181</v>
      </c>
    </row>
    <row r="30" spans="2:5">
      <c r="B30" s="4" t="s">
        <v>173</v>
      </c>
      <c r="C30" s="29" t="s">
        <v>235</v>
      </c>
      <c r="D30" s="11" t="s">
        <v>236</v>
      </c>
      <c r="E30" s="29" t="s">
        <v>181</v>
      </c>
    </row>
    <row r="31" spans="2:5">
      <c r="B31" s="4" t="s">
        <v>237</v>
      </c>
      <c r="C31" s="29" t="s">
        <v>238</v>
      </c>
      <c r="D31" s="11" t="s">
        <v>239</v>
      </c>
      <c r="E31" s="29" t="s">
        <v>181</v>
      </c>
    </row>
    <row r="33" spans="2:5">
      <c r="B33" s="3" t="s">
        <v>240</v>
      </c>
      <c r="C33" s="3"/>
      <c r="D33" s="3"/>
      <c r="E33" s="3"/>
    </row>
    <row r="34" spans="2:5">
      <c r="B34" s="10" t="s">
        <v>241</v>
      </c>
      <c r="C34" s="10" t="s">
        <v>242</v>
      </c>
      <c r="D34" s="10" t="s">
        <v>243</v>
      </c>
      <c r="E34" s="10" t="s">
        <v>6</v>
      </c>
    </row>
    <row r="35" spans="2:5" ht="35" customHeight="1">
      <c r="B35" s="4" t="s">
        <v>244</v>
      </c>
      <c r="C35" s="30" t="s">
        <v>245</v>
      </c>
      <c r="D35" s="11" t="s">
        <v>246</v>
      </c>
      <c r="E35" s="30" t="s">
        <v>183</v>
      </c>
    </row>
    <row r="36" spans="2:5" ht="35" customHeight="1">
      <c r="B36" s="4" t="s">
        <v>247</v>
      </c>
      <c r="C36" s="30" t="s">
        <v>248</v>
      </c>
      <c r="D36" s="11" t="s">
        <v>249</v>
      </c>
      <c r="E36" s="30" t="s">
        <v>183</v>
      </c>
    </row>
    <row r="37" spans="2:5" ht="35" customHeight="1">
      <c r="B37" s="4" t="s">
        <v>250</v>
      </c>
      <c r="C37" s="30" t="s">
        <v>251</v>
      </c>
      <c r="D37" s="11" t="s">
        <v>252</v>
      </c>
      <c r="E37" s="30" t="s">
        <v>183</v>
      </c>
    </row>
    <row r="38" spans="2:5" ht="35" customHeight="1">
      <c r="B38" s="4" t="s">
        <v>43</v>
      </c>
      <c r="C38" s="30" t="s">
        <v>253</v>
      </c>
      <c r="D38" s="11" t="s">
        <v>254</v>
      </c>
      <c r="E38" s="30" t="s">
        <v>183</v>
      </c>
    </row>
    <row r="39" spans="2:5" ht="35" customHeight="1">
      <c r="B39" s="4" t="s">
        <v>237</v>
      </c>
      <c r="C39" s="30" t="s">
        <v>255</v>
      </c>
      <c r="D39" s="11" t="s">
        <v>256</v>
      </c>
      <c r="E39" s="30" t="s">
        <v>183</v>
      </c>
    </row>
    <row r="40" spans="2:5" ht="35" customHeight="1">
      <c r="B40" s="4" t="s">
        <v>257</v>
      </c>
      <c r="C40" s="30" t="s">
        <v>258</v>
      </c>
      <c r="D40" s="11" t="s">
        <v>259</v>
      </c>
      <c r="E40" s="30" t="s">
        <v>183</v>
      </c>
    </row>
    <row r="42" spans="2:5">
      <c r="B42" s="3" t="s">
        <v>260</v>
      </c>
      <c r="C42" s="3"/>
      <c r="D42" s="3"/>
      <c r="E42" s="3"/>
    </row>
    <row r="43" spans="2:5">
      <c r="B43" s="10" t="s">
        <v>261</v>
      </c>
      <c r="C43" s="10" t="s">
        <v>262</v>
      </c>
      <c r="D43" s="10" t="s">
        <v>263</v>
      </c>
      <c r="E43" s="10" t="s">
        <v>6</v>
      </c>
    </row>
    <row r="44" spans="2:5">
      <c r="B44" s="4" t="s">
        <v>264</v>
      </c>
      <c r="C44" s="31" t="s">
        <v>265</v>
      </c>
      <c r="D44" s="11" t="s">
        <v>266</v>
      </c>
      <c r="E44" s="31" t="s">
        <v>185</v>
      </c>
    </row>
    <row r="45" spans="2:5">
      <c r="B45" s="4" t="s">
        <v>267</v>
      </c>
      <c r="C45" s="31" t="s">
        <v>268</v>
      </c>
      <c r="D45" s="11" t="s">
        <v>269</v>
      </c>
      <c r="E45" s="31" t="s">
        <v>185</v>
      </c>
    </row>
    <row r="46" spans="2:5">
      <c r="B46" s="4" t="s">
        <v>270</v>
      </c>
      <c r="C46" s="31" t="s">
        <v>271</v>
      </c>
      <c r="D46" s="11" t="s">
        <v>272</v>
      </c>
      <c r="E46" s="31" t="s">
        <v>185</v>
      </c>
    </row>
    <row r="47" spans="2:5">
      <c r="B47" s="4" t="s">
        <v>273</v>
      </c>
      <c r="C47" s="31" t="s">
        <v>274</v>
      </c>
      <c r="D47" s="11" t="s">
        <v>275</v>
      </c>
      <c r="E47" s="31" t="s">
        <v>185</v>
      </c>
    </row>
    <row r="48" spans="2:5">
      <c r="B48" s="4" t="s">
        <v>276</v>
      </c>
      <c r="C48" s="31" t="s">
        <v>277</v>
      </c>
      <c r="D48" s="11" t="s">
        <v>278</v>
      </c>
      <c r="E48" s="31" t="s">
        <v>185</v>
      </c>
    </row>
    <row r="49" spans="2:5">
      <c r="B49" s="4" t="s">
        <v>279</v>
      </c>
      <c r="C49" s="31" t="s">
        <v>280</v>
      </c>
      <c r="D49" s="11" t="s">
        <v>281</v>
      </c>
      <c r="E49" s="31" t="s">
        <v>185</v>
      </c>
    </row>
    <row r="52" spans="2:5">
      <c r="B52" s="6" t="s">
        <v>282</v>
      </c>
      <c r="C52" s="6"/>
      <c r="D52" s="6"/>
      <c r="E52" s="6"/>
    </row>
  </sheetData>
  <mergeCells count="7">
    <mergeCell ref="B2:E2"/>
    <mergeCell ref="B3:E3"/>
    <mergeCell ref="B10:E10"/>
    <mergeCell ref="B22:E22"/>
    <mergeCell ref="B33:E33"/>
    <mergeCell ref="B42:E42"/>
    <mergeCell ref="B52:E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Marktdaten</vt:lpstr>
      <vt:lpstr>Forecast</vt:lpstr>
      <vt:lpstr>Dashboard</vt:lpstr>
      <vt:lpstr>Methodik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2026-02-12T22:56:34Z</dcterms:created>
  <dcterms:modified xsi:type="dcterms:W3CDTF">2026-02-12T22:56:34Z</dcterms:modified>
</cp:coreProperties>
</file>