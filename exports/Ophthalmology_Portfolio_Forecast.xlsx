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Portfolio" sheetId="3" r:id="rId3"/>
    <sheet name="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<sst xmlns="http://schemas.openxmlformats.org/spreadsheetml/2006/main" count="477" uniqueCount="394">
  <si>
    <t>Eye Care Franchise - Ophthalmology Portfolio Forecast</t>
  </si>
  <si>
    <t>Sequenzieller Markteintritt DE | 3 Produkte | 7-Jahres-Horizont</t>
  </si>
  <si>
    <t>P1: RYZUMVI (Mydriase-Reversal)</t>
  </si>
  <si>
    <t>Indikation</t>
  </si>
  <si>
    <t>Mydriase-Reversal (Pupillenerweiterung)</t>
  </si>
  <si>
    <t>Phentolamin Augentropfen, first-in-class DE</t>
  </si>
  <si>
    <t>Launch-Monat</t>
  </si>
  <si>
    <t>Ab Modellstart (2026)</t>
  </si>
  <si>
    <t>Eligible Prozeduren/Jahr</t>
  </si>
  <si>
    <t>Dilatierte Augenuntersuchungen, davon Reversal gewuenscht</t>
  </si>
  <si>
    <t>Adressierbarer Anteil</t>
  </si>
  <si>
    <t>% der Prozeduren die Reversal aktiv nutzen</t>
  </si>
  <si>
    <t>Peak Marktanteil</t>
  </si>
  <si>
    <t>First-in-class, kein Wettbewerb</t>
  </si>
  <si>
    <t>Preis/Behandlung (EUR)</t>
  </si>
  <si>
    <t>Einmalapplikation pro Untersuchung</t>
  </si>
  <si>
    <t>AMNOG-Abschlag</t>
  </si>
  <si>
    <t>Einzigartig = milder Abschlag erwartet</t>
  </si>
  <si>
    <t>Adoptions-Speed (Mon.)</t>
  </si>
  <si>
    <t>Monate bis ~80% Peak Share</t>
  </si>
  <si>
    <t>Peak verordnende Aerzte</t>
  </si>
  <si>
    <t>Augenaerzte die regelmaessig dilatieren</t>
  </si>
  <si>
    <t>COGS (%)</t>
  </si>
  <si>
    <t>Herstellkosten</t>
  </si>
  <si>
    <t>Royalty (%)</t>
  </si>
  <si>
    <t>Ocuphire-Lizenz</t>
  </si>
  <si>
    <t>P2: MR-141 (Presbyopie)</t>
  </si>
  <si>
    <t>Presbyopie (Altersweitsichtigkeit)</t>
  </si>
  <si>
    <t>Phentolamin Augentropfen, taegl. Anwendung</t>
  </si>
  <si>
    <t>Ca. 1.5 Jahre nach P1</t>
  </si>
  <si>
    <t>Eligible Patienten</t>
  </si>
  <si>
    <t>Presbyopie-Praevalenz 40+ in DE</t>
  </si>
  <si>
    <t>Konservativ: Rx-Therapie statt Brille</t>
  </si>
  <si>
    <t>Begrenzt: Vuity (AbbVie) als Wettbewerber</t>
  </si>
  <si>
    <t>Preis/Monat (EUR)</t>
  </si>
  <si>
    <t>Taegl. Applikation, chronisch</t>
  </si>
  <si>
    <t>Lifestyle-nah = haertere Verhandlung</t>
  </si>
  <si>
    <t>Compliance (%)</t>
  </si>
  <si>
    <t>Lifestyle = niedrigere Compliance</t>
  </si>
  <si>
    <t>Wettbewerber-Druck p.a.</t>
  </si>
  <si>
    <t>Jaehrl. Share-Erosion</t>
  </si>
  <si>
    <t>P3: Tyrvaya (Trockenes Auge / DED)</t>
  </si>
  <si>
    <t>Keratoconjunctivitis sicca (Trockenes Auge)</t>
  </si>
  <si>
    <t>Vareniclin Nasenspray, neuer MOA</t>
  </si>
  <si>
    <t>EMA-Zulassung + AMNOG erforderlich (~3.5 Jahre)</t>
  </si>
  <si>
    <t>Diagn. DED-Patienten DE</t>
  </si>
  <si>
    <t>1.5-1.9 Mio. diagnostiziert</t>
  </si>
  <si>
    <t>Moderat-bis-schwer, Rx-geeignet</t>
  </si>
  <si>
    <t>Wettbewerb: iKervis, Vevizye, Generika</t>
  </si>
  <si>
    <t>Benchmark: iKervis EUR 120-135/Mon.</t>
  </si>
  <si>
    <t>Neuartiger MOA = moderater Abschlag</t>
  </si>
  <si>
    <t>DED: breites Verschreiberpotenzial</t>
  </si>
  <si>
    <t>Nasenspray BID, chronisch</t>
  </si>
  <si>
    <t>Wettbewerber</t>
  </si>
  <si>
    <t>iKervis, Vevizye, CsA-Generika</t>
  </si>
  <si>
    <t>AUSSENDIENST &amp; GO-TO-MARKET</t>
  </si>
  <si>
    <t>Reps bei Launch</t>
  </si>
  <si>
    <t>Initiale Sales Reps</t>
  </si>
  <si>
    <t>Peak Sales Reps</t>
  </si>
  <si>
    <t>Maximaler AD-Umfang</t>
  </si>
  <si>
    <t>Reps Ramp-Up (Mon.)</t>
  </si>
  <si>
    <t>Monate bis Peak</t>
  </si>
  <si>
    <t>Rep Jahreskosten (EUR)</t>
  </si>
  <si>
    <t>Voll belastet (Gehalt + Auto + Overhead)</t>
  </si>
  <si>
    <t>Peak MSLs</t>
  </si>
  <si>
    <t>Medical Science Liaisons</t>
  </si>
  <si>
    <t>MSL Jahreskosten (EUR)</t>
  </si>
  <si>
    <t>Voll belastet</t>
  </si>
  <si>
    <t>Launch-Marketing/Mon. (EUR)</t>
  </si>
  <si>
    <t>Waehrend Launch-Phase</t>
  </si>
  <si>
    <t>Maintenance-Marketing (EUR)</t>
  </si>
  <si>
    <t>Nach Launch-Phase</t>
  </si>
  <si>
    <t>Launch-Phase (Mon.)</t>
  </si>
  <si>
    <t>Dauer der intensiven Phase</t>
  </si>
  <si>
    <t>Kongresse/Jahr (EUR)</t>
  </si>
  <si>
    <t>DOG, AAD etc.</t>
  </si>
  <si>
    <t>KOL-Programm/Jahr (EUR)</t>
  </si>
  <si>
    <t>Advisory Boards, Speaker</t>
  </si>
  <si>
    <t>Digital Marketing/Mon. (EUR)</t>
  </si>
  <si>
    <t>Digitale Kanaele</t>
  </si>
  <si>
    <t>Synergie P2 (Kostenanteil)</t>
  </si>
  <si>
    <t>P2 Launch = 70% Standalone-Kosten</t>
  </si>
  <si>
    <t>Synergie P3 (Kostenanteil)</t>
  </si>
  <si>
    <t>P3 Launch = 60% Standalone-Kosten</t>
  </si>
  <si>
    <t>SZENARIO-DEFINITIONEN</t>
  </si>
  <si>
    <t>Parameter</t>
  </si>
  <si>
    <t>Konservativ</t>
  </si>
  <si>
    <t>Base Case</t>
  </si>
  <si>
    <t>Aggressiv</t>
  </si>
  <si>
    <t>Tyrvaya Launch (Monat)</t>
  </si>
  <si>
    <t>Tyrvaya Peak Share</t>
  </si>
  <si>
    <t>MR-141 Launch (Monat)</t>
  </si>
  <si>
    <t>RYZUMVI Speed (Mon.)</t>
  </si>
  <si>
    <t>MR-141 Speed (Mon.)</t>
  </si>
  <si>
    <t>Tyrvaya Speed (Mon.)</t>
  </si>
  <si>
    <t>Ophthalmologie-Markt Deutschland &amp; Wettbewerb</t>
  </si>
  <si>
    <t>Ophthalmologen &amp; Versorgungsstruktur</t>
  </si>
  <si>
    <t>Augenaerzte gesamt (DE)</t>
  </si>
  <si>
    <t>8.250+ (BAeK/KBV 2024)</t>
  </si>
  <si>
    <t>Davon GKV-Vertragsaerzte</t>
  </si>
  <si>
    <t>~6.600 (vertragsaerztl. Versorgung)</t>
  </si>
  <si>
    <t>MVZ-Augenaerzte (2024)</t>
  </si>
  <si>
    <t>~2.250 (Anteil wachsend, +8% p.a.)</t>
  </si>
  <si>
    <t>Patientenkontakte/Arzt/Quartal</t>
  </si>
  <si>
    <t>~1.000-1.400 (BVA-Daten)</t>
  </si>
  <si>
    <t>Verguetung</t>
  </si>
  <si>
    <t>EBM + IGeL (Mydriase: meist IGeL)</t>
  </si>
  <si>
    <t>Trockenes Auge (DED) – Marktlandschaft</t>
  </si>
  <si>
    <t>Betroffene (DE)</t>
  </si>
  <si>
    <t>~10 Mio. (Praevalenz 15-20%)</t>
  </si>
  <si>
    <t>Diagnostiziert</t>
  </si>
  <si>
    <t>1.5-1.9 Mio.</t>
  </si>
  <si>
    <t>Rx-Therapiequote</t>
  </si>
  <si>
    <t>Nur 36% der Diagnostizierten</t>
  </si>
  <si>
    <t>Marktvolumen DE (Rx+OTC)</t>
  </si>
  <si>
    <t>~EUR 430 Mio. (CAGR 5.7%)</t>
  </si>
  <si>
    <t>Rx-Anteil</t>
  </si>
  <si>
    <t>~35% (Rest: OTC kuenstl. Traenen)</t>
  </si>
  <si>
    <t>OTC kuenstl. Traenen</t>
  </si>
  <si>
    <t>~EUR 280 Mio. (+4% p.a.)</t>
  </si>
  <si>
    <t>Ophth. Rx-Gesamtmarkt DE</t>
  </si>
  <si>
    <t>~EUR 1.2 Mrd.</t>
  </si>
  <si>
    <t>DED-Wettbewerber (Rx)</t>
  </si>
  <si>
    <t>Produkt</t>
  </si>
  <si>
    <t>Firma</t>
  </si>
  <si>
    <t>Preis/Mon.</t>
  </si>
  <si>
    <t>Status DE</t>
  </si>
  <si>
    <t>iKervis (CsA)</t>
  </si>
  <si>
    <t>Santen</t>
  </si>
  <si>
    <t>Schwere Keratitis (DED)</t>
  </si>
  <si>
    <t>EUR 120-135</t>
  </si>
  <si>
    <t>Seit 2015, Referenzprodukt</t>
  </si>
  <si>
    <t>Vevizye (CsA)</t>
  </si>
  <si>
    <t>Novaliq / Thea</t>
  </si>
  <si>
    <t>Moderate-schwere DED</t>
  </si>
  <si>
    <t>EUR ~120 (erw.)</t>
  </si>
  <si>
    <t>EU-Zul. Okt 2024, DE-Launch 2025</t>
  </si>
  <si>
    <t>Restasis (CsA)</t>
  </si>
  <si>
    <t>AbbVie</t>
  </si>
  <si>
    <t>DED (nur USA)</t>
  </si>
  <si>
    <t>n/a DE</t>
  </si>
  <si>
    <t>Kein EU-Launch</t>
  </si>
  <si>
    <t>Tyrvaya (Varenicl.)</t>
  </si>
  <si>
    <t>Specialty Pharma</t>
  </si>
  <si>
    <t>DED, neuer MOA</t>
  </si>
  <si>
    <t>EUR 140 (gepl.)</t>
  </si>
  <si>
    <t>Kein EMA-Filing bisher</t>
  </si>
  <si>
    <t>OTC Traenen</t>
  </si>
  <si>
    <t>Diverse</t>
  </si>
  <si>
    <t>Milde DED, Befeuchtung</t>
  </si>
  <si>
    <t>EUR 5-15</t>
  </si>
  <si>
    <t>Freier Markt, hohes Volumen</t>
  </si>
  <si>
    <t>Ophthalmologie-Pipeline (Eye Care Franchise)</t>
  </si>
  <si>
    <t>Strategie</t>
  </si>
  <si>
    <t>Aufbau Specialty-Ophthalmologie durch Akquisitionen + Pipeline</t>
  </si>
  <si>
    <t>Oyster Point Akquisition</t>
  </si>
  <si>
    <t>Abgeschlossen 2023, Basis fuer Tyrvaya</t>
  </si>
  <si>
    <t>Famy Life Sciences</t>
  </si>
  <si>
    <t>Erworben 2023, RYZUMVI + MR-141 Pipeline</t>
  </si>
  <si>
    <t>RYZUMVI (Phentolamin)</t>
  </si>
  <si>
    <t>FDA-zugelassen (Aug 2023), EU-Einreichung erwartet</t>
  </si>
  <si>
    <t>MR-141 (Phentolamin)</t>
  </si>
  <si>
    <t>Phase III Presbyopie, Ergebnisse 2025/26 erw.</t>
  </si>
  <si>
    <t>Tyrvaya (Vareniclin)</t>
  </si>
  <si>
    <t>FDA-zugelassen (Okt 2021), kein EMA-Filing</t>
  </si>
  <si>
    <t>Fokus DE</t>
  </si>
  <si>
    <t>Facharzt-Vertrieb, AMNOG-Erstattung, MVZ-Zugang</t>
  </si>
  <si>
    <t>AMNOG-Referenzfaelle (Augenheilkunde)</t>
  </si>
  <si>
    <t>iKervis (CsA, 2016)</t>
  </si>
  <si>
    <t>Gering: Zusatznutzen vs. Traenenersatz; EUR 120-135/Mon. EB</t>
  </si>
  <si>
    <t>Eylea (Aflibercept, 2013)</t>
  </si>
  <si>
    <t>Betraechtlich: AMD; EUR ~1.100/Injektion EB</t>
  </si>
  <si>
    <t>Lucentis (Ranibizumab, 2013)</t>
  </si>
  <si>
    <t>Gering: DME; EUR ~800/Injektion EB</t>
  </si>
  <si>
    <t>Typisches Ergebnis</t>
  </si>
  <si>
    <t>Augenheilkunde: oft 'geringer Zusatznutzen'</t>
  </si>
  <si>
    <t>Konsequenz fuer Preis</t>
  </si>
  <si>
    <t>AMNOG-Cut 10-25%, danach jaehrl. Erosion 1-3%</t>
  </si>
  <si>
    <t>Produkt-Level Forecast – Alle 3 Produkte</t>
  </si>
  <si>
    <t>Monat</t>
  </si>
  <si>
    <t>RYZUMVI
Pat.</t>
  </si>
  <si>
    <t>RYZUMVI
Preis</t>
  </si>
  <si>
    <t>RYZUMVI
Umsatz</t>
  </si>
  <si>
    <t>RYZUMVI
Verordner</t>
  </si>
  <si>
    <t>MR-141
Pat.</t>
  </si>
  <si>
    <t>MR-141
Preis</t>
  </si>
  <si>
    <t>MR-141
Umsatz</t>
  </si>
  <si>
    <t>MR-141
Verordner</t>
  </si>
  <si>
    <t>Tyrvaya
Pat.</t>
  </si>
  <si>
    <t>Tyrvaya
Preis</t>
  </si>
  <si>
    <t>Tyrvaya
Umsatz</t>
  </si>
  <si>
    <t>Tyrvaya
Verordner</t>
  </si>
  <si>
    <t>Portfolio
Umsatz</t>
  </si>
  <si>
    <t>Portfolio-Forecast mit P&amp;L und GTM-Invest (Base Case)</t>
  </si>
  <si>
    <t>Portfolio 7J Umsatz</t>
  </si>
  <si>
    <t>Portfolio 7J Gewinn</t>
  </si>
  <si>
    <t>Break-Even</t>
  </si>
  <si>
    <t>Monat 15</t>
  </si>
  <si>
    <t>ROI (7 Jahre)</t>
  </si>
  <si>
    <t>2.7x</t>
  </si>
  <si>
    <t>GTM-Invest 7J</t>
  </si>
  <si>
    <t>Produkte
Live</t>
  </si>
  <si>
    <t>Gesamt
Umsatz</t>
  </si>
  <si>
    <t>Gesamt
Patienten</t>
  </si>
  <si>
    <t>Reps</t>
  </si>
  <si>
    <t>MSLs</t>
  </si>
  <si>
    <t>GTM-Kosten
/Mon.</t>
  </si>
  <si>
    <t>Portfolio
Gewinn</t>
  </si>
  <si>
    <t>Kum.
Umsatz</t>
  </si>
  <si>
    <t>Kum.
Gewinn</t>
  </si>
  <si>
    <t>Kum.
GTM-Invest</t>
  </si>
  <si>
    <t>ROI</t>
  </si>
  <si>
    <t>MVZ-Anteil</t>
  </si>
  <si>
    <t>Executive Summary - Eye Care Franchise Portfolio</t>
  </si>
  <si>
    <t>Szenario-Vergleich (7-Jahres-Horizont)</t>
  </si>
  <si>
    <t>Portfolio-Umsatz 7J</t>
  </si>
  <si>
    <t>Portfolio-Gewinn 7J</t>
  </si>
  <si>
    <t>ROI (7J)</t>
  </si>
  <si>
    <t>2.5x</t>
  </si>
  <si>
    <t>Break-Even (Monat)</t>
  </si>
  <si>
    <t>M15</t>
  </si>
  <si>
    <t>M16</t>
  </si>
  <si>
    <t>Peak monatl. Umsatz</t>
  </si>
  <si>
    <t>Peak Umsatz-Monat</t>
  </si>
  <si>
    <t>Umsatz Jahr 1</t>
  </si>
  <si>
    <t>Umsatz Jahre 1-3</t>
  </si>
  <si>
    <t>Verordner (final)</t>
  </si>
  <si>
    <t>RYZUMVI Umsatzanteil</t>
  </si>
  <si>
    <t>MR-141 Umsatzanteil</t>
  </si>
  <si>
    <t>Tyrvaya Umsatzanteil</t>
  </si>
  <si>
    <t>RYZUMVI Umsatz 7J</t>
  </si>
  <si>
    <t>MR-141 Umsatz 7J</t>
  </si>
  <si>
    <t>Tyrvaya Umsatz 7J</t>
  </si>
  <si>
    <t>Investment-These</t>
  </si>
  <si>
    <t>RYZUMVI: First-in-class DE, Cash-Cow ab Launch (Mydriase-Reversal = unmittelbarer Umsatz)</t>
  </si>
  <si>
    <t>MR-141: Potenziell transformativ (15M Presbyopie-Pat.), aber GKV-Huerde (Lifestyle-nah)</t>
  </si>
  <si>
    <t>Tyrvaya: Groesster Markt (DED EUR 430M), aber spaeter Launch + starker Wettbewerb (iKervis, Vevizye)</t>
  </si>
  <si>
    <t>Synergien: Shared Field Force senkt P3-Launch-Kosten um 40% vs. Standalone</t>
  </si>
  <si>
    <t>Break-Even: M15 (Base Case) dank sofortigem RYZUMVI-Umsatz, vgl. M24+ bei Single-Product-Launch</t>
  </si>
  <si>
    <t>MVZ-Kanal: Wachsender Zugang zu konsolidierten Praxen (2.250 Aerzte, +8% p.a.)</t>
  </si>
  <si>
    <t>Methodik &amp; Transparenz-Matrix</t>
  </si>
  <si>
    <t>Jeder Datenpunkt ist klassifiziert: FAKT / ANNAHME / MODELL / LUECKE</t>
  </si>
  <si>
    <t>Legende:</t>
  </si>
  <si>
    <t>FAKT</t>
  </si>
  <si>
    <t>Aus oeffentlichen Quellen</t>
  </si>
  <si>
    <t>ANNAHME</t>
  </si>
  <si>
    <t>Steuerbar (gelbe Zellen)</t>
  </si>
  <si>
    <t>MODELL</t>
  </si>
  <si>
    <t>Mathematisches Modell</t>
  </si>
  <si>
    <t>LUECKE</t>
  </si>
  <si>
    <t>Fuer Produktiveinsatz noetig</t>
  </si>
  <si>
    <t>FAKTEN</t>
  </si>
  <si>
    <t>Datenpunkt</t>
  </si>
  <si>
    <t>Wert</t>
  </si>
  <si>
    <t>Quelle</t>
  </si>
  <si>
    <t>Kat.</t>
  </si>
  <si>
    <t>Augenaerzte DE</t>
  </si>
  <si>
    <t>KBV Aerztestatistik</t>
  </si>
  <si>
    <t>GKV-Vertragsaerzte Ophth.</t>
  </si>
  <si>
    <t>~6.600</t>
  </si>
  <si>
    <t>MVZ-Augenaerzte</t>
  </si>
  <si>
    <t>~2.250 (2024), +8% p.a.</t>
  </si>
  <si>
    <t>Gesundheitsmarkt.de / ZI</t>
  </si>
  <si>
    <t>DED-Praevalenz DE</t>
  </si>
  <si>
    <t>~10 Mio., 1.5-1.9 Mio. diagnostiziert</t>
  </si>
  <si>
    <t>Grand View Research</t>
  </si>
  <si>
    <t>DED Rx-Therapiequote</t>
  </si>
  <si>
    <t>36% der Diagnostizierten</t>
  </si>
  <si>
    <t>Epidemiologische Studien</t>
  </si>
  <si>
    <t>DED Markt DE (Rx+OTC)</t>
  </si>
  <si>
    <t>Grand View Research / IQVIA</t>
  </si>
  <si>
    <t>iKervis Preis/Mon.</t>
  </si>
  <si>
    <t>EUR 120-135 (schwere Keratitis)</t>
  </si>
  <si>
    <t>Lauer-Taxe / Santen</t>
  </si>
  <si>
    <t>Vevizye EU-Zulassung</t>
  </si>
  <si>
    <t>Oktober 2024 (Novaliq/Thea)</t>
  </si>
  <si>
    <t>EMA EPAR</t>
  </si>
  <si>
    <t>RYZUMVI FDA-Zulassung</t>
  </si>
  <si>
    <t>August 2023 (Phentolamin)</t>
  </si>
  <si>
    <t>FDA Public Assessment</t>
  </si>
  <si>
    <t>Tyrvaya FDA-Zulassung</t>
  </si>
  <si>
    <t>Oktober 2021 (Vareniclin)</t>
  </si>
  <si>
    <t>FDA / Oyster Point</t>
  </si>
  <si>
    <t>Tyrvaya: kein EMA-Filing</t>
  </si>
  <si>
    <t>Stand Feb. 2025: keine EU-Einreichung</t>
  </si>
  <si>
    <t>Pipeline-Daten / ClinTrials</t>
  </si>
  <si>
    <t>2023, ~$785M</t>
  </si>
  <si>
    <t>Oeffentliche Pressemitteilungen</t>
  </si>
  <si>
    <t>2023 erworben (RYZUMVI + MR-141)</t>
  </si>
  <si>
    <t>Presbyopie DE</t>
  </si>
  <si>
    <t>~15 Mio. Betroffene (40+)</t>
  </si>
  <si>
    <t>Epidemiologische Schaetzung</t>
  </si>
  <si>
    <t>ANNAHMEN</t>
  </si>
  <si>
    <t>Default</t>
  </si>
  <si>
    <t>Begruendung</t>
  </si>
  <si>
    <t>RYZUMVI eligible Proz.</t>
  </si>
  <si>
    <t>800K/Jahr</t>
  </si>
  <si>
    <t>Dilatierte Untersuchungen mit Reversal-Wunsch</t>
  </si>
  <si>
    <t>RYZUMVI Preis</t>
  </si>
  <si>
    <t>EUR 25/Behandlung</t>
  </si>
  <si>
    <t>Einmalapplikation, IGeL-Benchmark</t>
  </si>
  <si>
    <t>RYZUMVI Peak Share</t>
  </si>
  <si>
    <t>50%</t>
  </si>
  <si>
    <t>MR-141 addressable</t>
  </si>
  <si>
    <t>2% von 15M</t>
  </si>
  <si>
    <t>Konservativ: Rx statt Lesebrille</t>
  </si>
  <si>
    <t>MR-141 Preis</t>
  </si>
  <si>
    <t>EUR 45/Mon.</t>
  </si>
  <si>
    <t>Taegl. Rx, Lifestyle-Preispunkt</t>
  </si>
  <si>
    <t>Tyrvaya Preis</t>
  </si>
  <si>
    <t>EUR 140/Mon.</t>
  </si>
  <si>
    <t>Benchmark iKervis (EUR 120-135)</t>
  </si>
  <si>
    <t>Tyrvaya Launch Monat</t>
  </si>
  <si>
    <t>42 (3.5 Jahre)</t>
  </si>
  <si>
    <t>EMA-Filing + Zulassung + AMNOG</t>
  </si>
  <si>
    <t>AMNOG-Abschlag P1</t>
  </si>
  <si>
    <t>10%</t>
  </si>
  <si>
    <t>Einzigartig, milder Abschlag</t>
  </si>
  <si>
    <t>AMNOG-Abschlag P2</t>
  </si>
  <si>
    <t>25%</t>
  </si>
  <si>
    <t>Lifestyle-nah, haertere Verhandlung</t>
  </si>
  <si>
    <t>AMNOG-Abschlag P3</t>
  </si>
  <si>
    <t>15%</t>
  </si>
  <si>
    <t>Neuartiger MOA, moderate Verhandlung</t>
  </si>
  <si>
    <t>Synergy P2</t>
  </si>
  <si>
    <t>70% der Standalone-Kosten</t>
  </si>
  <si>
    <t>Shared Field Force</t>
  </si>
  <si>
    <t>Synergy P3</t>
  </si>
  <si>
    <t>60% der Standalone-Kosten</t>
  </si>
  <si>
    <t>Etablierte Plattform + KOLs</t>
  </si>
  <si>
    <t>45</t>
  </si>
  <si>
    <t>1 Rep : ~150 Augenaerzte</t>
  </si>
  <si>
    <t>12</t>
  </si>
  <si>
    <t>AMNOG-Support + KOL-Management</t>
  </si>
  <si>
    <t>MODELLE</t>
  </si>
  <si>
    <t>Modell</t>
  </si>
  <si>
    <t>Formel / Logik</t>
  </si>
  <si>
    <t>Referenz</t>
  </si>
  <si>
    <t>Facharzt-Adoption</t>
  </si>
  <si>
    <t>Logistische S-Kurve: peak / (1 + exp(-k*(t-m)))</t>
  </si>
  <si>
    <t>Pharma Launch Diffusionsmodelle</t>
  </si>
  <si>
    <t>AMNOG-Pricing</t>
  </si>
  <si>
    <t>3-Phasen: Frei (6M) -&gt; G-BA Cut -&gt; Jaehrl. Erosion</t>
  </si>
  <si>
    <t>IQWiG / GKV-SV AMNOG-Verfahren</t>
  </si>
  <si>
    <t>Field Force Ramp</t>
  </si>
  <si>
    <t>Lineare Skalierung: Launch -&gt; Peak ueber n Monate</t>
  </si>
  <si>
    <t>Pharma GTM Benchmarks</t>
  </si>
  <si>
    <t>Cross-Product Synergy</t>
  </si>
  <si>
    <t>P2: 70%, P3: 60% der Standalone-Kosten</t>
  </si>
  <si>
    <t>Portfolio-Skaleneffekte</t>
  </si>
  <si>
    <t>Competitive Erosion</t>
  </si>
  <si>
    <t>Jaehrl. Share-Reduktion: share * (1 + erosion_rate)^t</t>
  </si>
  <si>
    <t>Analogie: iKervis vs. Vevizye</t>
  </si>
  <si>
    <t>Patient Volume</t>
  </si>
  <si>
    <t>eligible * addressable * share * compliance</t>
  </si>
  <si>
    <t>Standard Pharma Forecast</t>
  </si>
  <si>
    <t>MVZ-Kanal</t>
  </si>
  <si>
    <t>Basis * (1 + growth_rate)^(t/12)</t>
  </si>
  <si>
    <t>ZI-Daten, 8% p.a. Konsolidierung</t>
  </si>
  <si>
    <t>Portfolio P&amp;L</t>
  </si>
  <si>
    <t>Revenue * (1-15% avg COGS) - GTM_Cost</t>
  </si>
  <si>
    <t>Vereinfachte Portfolio-Sicht</t>
  </si>
  <si>
    <t>LUECKEN</t>
  </si>
  <si>
    <t>Gap</t>
  </si>
  <si>
    <t>Beschreibung</t>
  </si>
  <si>
    <t>Datenquelle</t>
  </si>
  <si>
    <t>EMA-Filing Tyrvaya</t>
  </si>
  <si>
    <t>Zeitpunkt und Strategie der EU-Einreichung unklar</t>
  </si>
  <si>
    <t>Regulatory Intelligence</t>
  </si>
  <si>
    <t>MR-141 Phase-III Daten</t>
  </si>
  <si>
    <t>Ergebnisse Presbyopie-Studie stehen noch aus</t>
  </si>
  <si>
    <t>ClinicalTrials.gov</t>
  </si>
  <si>
    <t>AMNOG-Dossier Details</t>
  </si>
  <si>
    <t>IQWiG-Bewertung und G-BA-Ergebnis sind produktspez.</t>
  </si>
  <si>
    <t>IQWiG / G-BA Verhandlung</t>
  </si>
  <si>
    <t>Vevizye DE-Launch Preis</t>
  </si>
  <si>
    <t>Erstattungsbetrag noch in Verhandlung (2025)</t>
  </si>
  <si>
    <t>Novaliq / GKV-SV</t>
  </si>
  <si>
    <t>Real-World-Compliance</t>
  </si>
  <si>
    <t>Ophth. Compliance-Daten fuer Augentropfen/Spray</t>
  </si>
  <si>
    <t>Observational Studies / IQVIA</t>
  </si>
  <si>
    <t>KBV-Verordnungsdaten</t>
  </si>
  <si>
    <t>Tatsaechl. ICD-basierte Verschreibungen pro Arzt</t>
  </si>
  <si>
    <t>KBV Verordnungsdaten (nicht-oeffentl.)</t>
  </si>
  <si>
    <t>iKervis Marktanteile DE</t>
  </si>
  <si>
    <t>Monatl. Pack./Umsatz nach Indikation</t>
  </si>
  <si>
    <t>IQVIA Prescription Analytics</t>
  </si>
  <si>
    <t>Field Force Benchmark</t>
  </si>
  <si>
    <t>Tatsaechl. Rep-Effizienz (Calls/Conversion) Ophth.</t>
  </si>
  <si>
    <t>IMS / Veeva CRM Data</t>
  </si>
  <si>
    <t>Reimbursement Landscape</t>
  </si>
  <si>
    <t>Festbetraege, Rabattvertraege fuer CsA-Produkte</t>
  </si>
  <si>
    <t>GKV-SV / Lauer-Taxe Detail</t>
  </si>
  <si>
    <t>Hinweis: Alle Daten synthetisch. Referenzen: FDA/EMA Public Assessments, KBV Aerztestatistik, Grand View Research (Dry Eye), Santen (iKervis), Novaliq (Vevizye), ClinicalTrials.gov, oeffentliche Investor Relations.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</si>
</sst>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0.00x"/>
  </numFmts>
  <fonts count="12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92400E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8" borderId="0" xfId="0" applyFill="1"/>
    <xf numFmtId="164" fontId="0" fillId="8" borderId="0" xfId="0" applyNumberFormat="1" applyFill="1"/>
    <xf numFmtId="167" fontId="0" fillId="8" borderId="0" xfId="0" applyNumberFormat="1" applyFill="1"/>
    <xf numFmtId="0" fontId="9" fillId="9" borderId="4" xfId="0" applyFont="1" applyFill="1" applyBorder="1"/>
    <xf numFmtId="167" fontId="10" fillId="9" borderId="4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168" fontId="0" fillId="0" borderId="0" xfId="0" applyNumberFormat="1"/>
    <xf numFmtId="165" fontId="0" fillId="0" borderId="0" xfId="0" applyNumberFormat="1"/>
    <xf numFmtId="168" fontId="0" fillId="8" borderId="0" xfId="0" applyNumberFormat="1" applyFill="1"/>
    <xf numFmtId="165" fontId="0" fillId="8" borderId="0" xfId="0" applyNumberFormat="1" applyFill="1"/>
    <xf numFmtId="0" fontId="11" fillId="10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11" borderId="4" xfId="0" applyFont="1" applyFill="1" applyBorder="1" applyAlignment="1">
      <alignment vertical="center" wrapText="1"/>
    </xf>
    <xf numFmtId="0" fontId="11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Portfolio-Umsatz nach Produkt (monatlich)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RYZUMVI</c:v>
          </c:tx>
          <c:spPr>
            <a:solidFill>
              <a:srgbClr val="0D9488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Portfolio!$E$5:$E$88</c:f>
              <c:numCache>
                <c:formatCode>General</c:formatCode>
                <c:ptCount val="84"/>
                <c:pt idx="0">
                  <c:v>157433</c:v>
                </c:pt>
                <c:pt idx="1">
                  <c:v>214375</c:v>
                </c:pt>
                <c:pt idx="2">
                  <c:v>289368</c:v>
                </c:pt>
                <c:pt idx="3">
                  <c:v>386163</c:v>
                </c:pt>
                <c:pt idx="4">
                  <c:v>507897</c:v>
                </c:pt>
                <c:pt idx="5">
                  <c:v>656096</c:v>
                </c:pt>
                <c:pt idx="6">
                  <c:v>745952</c:v>
                </c:pt>
                <c:pt idx="7">
                  <c:v>919489</c:v>
                </c:pt>
                <c:pt idx="8">
                  <c:v>1103476</c:v>
                </c:pt>
                <c:pt idx="9">
                  <c:v>1288173</c:v>
                </c:pt>
                <c:pt idx="10">
                  <c:v>1463659</c:v>
                </c:pt>
                <c:pt idx="11">
                  <c:v>1621852</c:v>
                </c:pt>
                <c:pt idx="12">
                  <c:v>1757793</c:v>
                </c:pt>
                <c:pt idx="13">
                  <c:v>1869838</c:v>
                </c:pt>
                <c:pt idx="14">
                  <c:v>1958996</c:v>
                </c:pt>
                <c:pt idx="15">
                  <c:v>2027918</c:v>
                </c:pt>
                <c:pt idx="16">
                  <c:v>2079946</c:v>
                </c:pt>
                <c:pt idx="17">
                  <c:v>2118453</c:v>
                </c:pt>
                <c:pt idx="18">
                  <c:v>2146467</c:v>
                </c:pt>
                <c:pt idx="19">
                  <c:v>2166515</c:v>
                </c:pt>
                <c:pt idx="20">
                  <c:v>2180617</c:v>
                </c:pt>
                <c:pt idx="21">
                  <c:v>2190330</c:v>
                </c:pt>
                <c:pt idx="22">
                  <c:v>2196833</c:v>
                </c:pt>
                <c:pt idx="23">
                  <c:v>2201002</c:v>
                </c:pt>
                <c:pt idx="24">
                  <c:v>2203480</c:v>
                </c:pt>
                <c:pt idx="25">
                  <c:v>2204740</c:v>
                </c:pt>
                <c:pt idx="26">
                  <c:v>2205122</c:v>
                </c:pt>
                <c:pt idx="27">
                  <c:v>2204873</c:v>
                </c:pt>
                <c:pt idx="28">
                  <c:v>2204173</c:v>
                </c:pt>
                <c:pt idx="29">
                  <c:v>2203148</c:v>
                </c:pt>
                <c:pt idx="30">
                  <c:v>2201891</c:v>
                </c:pt>
                <c:pt idx="31">
                  <c:v>2200469</c:v>
                </c:pt>
                <c:pt idx="32">
                  <c:v>2198928</c:v>
                </c:pt>
                <c:pt idx="33">
                  <c:v>2197304</c:v>
                </c:pt>
                <c:pt idx="34">
                  <c:v>2195619</c:v>
                </c:pt>
                <c:pt idx="35">
                  <c:v>2193891</c:v>
                </c:pt>
                <c:pt idx="36">
                  <c:v>2192134</c:v>
                </c:pt>
                <c:pt idx="37">
                  <c:v>2190355</c:v>
                </c:pt>
                <c:pt idx="38">
                  <c:v>2188562</c:v>
                </c:pt>
                <c:pt idx="39">
                  <c:v>2186759</c:v>
                </c:pt>
                <c:pt idx="40">
                  <c:v>2184949</c:v>
                </c:pt>
                <c:pt idx="41">
                  <c:v>2183135</c:v>
                </c:pt>
                <c:pt idx="42">
                  <c:v>2181318</c:v>
                </c:pt>
                <c:pt idx="43">
                  <c:v>2179500</c:v>
                </c:pt>
                <c:pt idx="44">
                  <c:v>2177680</c:v>
                </c:pt>
                <c:pt idx="45">
                  <c:v>2175861</c:v>
                </c:pt>
                <c:pt idx="46">
                  <c:v>2174042</c:v>
                </c:pt>
                <c:pt idx="47">
                  <c:v>2172224</c:v>
                </c:pt>
                <c:pt idx="48">
                  <c:v>2170407</c:v>
                </c:pt>
                <c:pt idx="49">
                  <c:v>2168591</c:v>
                </c:pt>
                <c:pt idx="50">
                  <c:v>2166777</c:v>
                </c:pt>
                <c:pt idx="51">
                  <c:v>2164963</c:v>
                </c:pt>
                <c:pt idx="52">
                  <c:v>2163151</c:v>
                </c:pt>
                <c:pt idx="53">
                  <c:v>2161340</c:v>
                </c:pt>
                <c:pt idx="54">
                  <c:v>2159531</c:v>
                </c:pt>
                <c:pt idx="55">
                  <c:v>2157723</c:v>
                </c:pt>
                <c:pt idx="56">
                  <c:v>2155917</c:v>
                </c:pt>
                <c:pt idx="57">
                  <c:v>2154112</c:v>
                </c:pt>
                <c:pt idx="58">
                  <c:v>2152309</c:v>
                </c:pt>
                <c:pt idx="59">
                  <c:v>2150507</c:v>
                </c:pt>
                <c:pt idx="60">
                  <c:v>2148707</c:v>
                </c:pt>
                <c:pt idx="61">
                  <c:v>2146908</c:v>
                </c:pt>
                <c:pt idx="62">
                  <c:v>2145111</c:v>
                </c:pt>
                <c:pt idx="63">
                  <c:v>2143315</c:v>
                </c:pt>
                <c:pt idx="64">
                  <c:v>2141520</c:v>
                </c:pt>
                <c:pt idx="65">
                  <c:v>2139728</c:v>
                </c:pt>
                <c:pt idx="66">
                  <c:v>2137936</c:v>
                </c:pt>
                <c:pt idx="67">
                  <c:v>2136146</c:v>
                </c:pt>
                <c:pt idx="68">
                  <c:v>2134358</c:v>
                </c:pt>
                <c:pt idx="69">
                  <c:v>2132571</c:v>
                </c:pt>
                <c:pt idx="70">
                  <c:v>2130786</c:v>
                </c:pt>
                <c:pt idx="71">
                  <c:v>2129002</c:v>
                </c:pt>
                <c:pt idx="72">
                  <c:v>2127220</c:v>
                </c:pt>
                <c:pt idx="73">
                  <c:v>2125439</c:v>
                </c:pt>
                <c:pt idx="74">
                  <c:v>2123660</c:v>
                </c:pt>
                <c:pt idx="75">
                  <c:v>2121882</c:v>
                </c:pt>
                <c:pt idx="76">
                  <c:v>2120105</c:v>
                </c:pt>
                <c:pt idx="77">
                  <c:v>2118330</c:v>
                </c:pt>
                <c:pt idx="78">
                  <c:v>2116557</c:v>
                </c:pt>
                <c:pt idx="79">
                  <c:v>2114785</c:v>
                </c:pt>
                <c:pt idx="80">
                  <c:v>2113015</c:v>
                </c:pt>
                <c:pt idx="81">
                  <c:v>2111246</c:v>
                </c:pt>
                <c:pt idx="82">
                  <c:v>2109478</c:v>
                </c:pt>
                <c:pt idx="83">
                  <c:v>2107712</c:v>
                </c:pt>
              </c:numCache>
            </c:numRef>
          </c:val>
        </c:ser>
        <c:ser>
          <c:idx val="1"/>
          <c:order val="1"/>
          <c:tx>
            <c:v>MR-141</c:v>
          </c:tx>
          <c:spPr>
            <a:solidFill>
              <a:srgbClr val="1E3A5F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Portfolio!$I$5:$I$88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204034</c:v>
                </c:pt>
                <c:pt idx="18">
                  <c:v>256737</c:v>
                </c:pt>
                <c:pt idx="19">
                  <c:v>321576</c:v>
                </c:pt>
                <c:pt idx="20">
                  <c:v>400526</c:v>
                </c:pt>
                <c:pt idx="21">
                  <c:v>495463</c:v>
                </c:pt>
                <c:pt idx="22">
                  <c:v>607910</c:v>
                </c:pt>
                <c:pt idx="23">
                  <c:v>738730</c:v>
                </c:pt>
                <c:pt idx="24">
                  <c:v>664143</c:v>
                </c:pt>
                <c:pt idx="25">
                  <c:v>786176</c:v>
                </c:pt>
                <c:pt idx="26">
                  <c:v>917842</c:v>
                </c:pt>
                <c:pt idx="27">
                  <c:v>1055782</c:v>
                </c:pt>
                <c:pt idx="28">
                  <c:v>1195847</c:v>
                </c:pt>
                <c:pt idx="29">
                  <c:v>1333554</c:v>
                </c:pt>
                <c:pt idx="30">
                  <c:v>1464613</c:v>
                </c:pt>
                <c:pt idx="31">
                  <c:v>1585433</c:v>
                </c:pt>
                <c:pt idx="32">
                  <c:v>1693449</c:v>
                </c:pt>
                <c:pt idx="33">
                  <c:v>1787250</c:v>
                </c:pt>
                <c:pt idx="34">
                  <c:v>1866499</c:v>
                </c:pt>
                <c:pt idx="35">
                  <c:v>1931719</c:v>
                </c:pt>
                <c:pt idx="36">
                  <c:v>1984032</c:v>
                </c:pt>
                <c:pt idx="37">
                  <c:v>2024893</c:v>
                </c:pt>
                <c:pt idx="38">
                  <c:v>2055883</c:v>
                </c:pt>
                <c:pt idx="39">
                  <c:v>2078561</c:v>
                </c:pt>
                <c:pt idx="40">
                  <c:v>2094363</c:v>
                </c:pt>
                <c:pt idx="41">
                  <c:v>2104563</c:v>
                </c:pt>
                <c:pt idx="42">
                  <c:v>2110249</c:v>
                </c:pt>
                <c:pt idx="43">
                  <c:v>2112333</c:v>
                </c:pt>
                <c:pt idx="44">
                  <c:v>2111565</c:v>
                </c:pt>
                <c:pt idx="45">
                  <c:v>2108552</c:v>
                </c:pt>
                <c:pt idx="46">
                  <c:v>2103782</c:v>
                </c:pt>
                <c:pt idx="47">
                  <c:v>2097645</c:v>
                </c:pt>
                <c:pt idx="48">
                  <c:v>2090447</c:v>
                </c:pt>
                <c:pt idx="49">
                  <c:v>2082430</c:v>
                </c:pt>
                <c:pt idx="50">
                  <c:v>2073785</c:v>
                </c:pt>
                <c:pt idx="51">
                  <c:v>2064660</c:v>
                </c:pt>
                <c:pt idx="52">
                  <c:v>2055171</c:v>
                </c:pt>
                <c:pt idx="53">
                  <c:v>2045409</c:v>
                </c:pt>
                <c:pt idx="54">
                  <c:v>2035444</c:v>
                </c:pt>
                <c:pt idx="55">
                  <c:v>2025331</c:v>
                </c:pt>
                <c:pt idx="56">
                  <c:v>2015112</c:v>
                </c:pt>
                <c:pt idx="57">
                  <c:v>2004820</c:v>
                </c:pt>
                <c:pt idx="58">
                  <c:v>1994481</c:v>
                </c:pt>
                <c:pt idx="59">
                  <c:v>1984114</c:v>
                </c:pt>
                <c:pt idx="60">
                  <c:v>1973735</c:v>
                </c:pt>
                <c:pt idx="61">
                  <c:v>1963355</c:v>
                </c:pt>
                <c:pt idx="62">
                  <c:v>1952984</c:v>
                </c:pt>
                <c:pt idx="63">
                  <c:v>1942629</c:v>
                </c:pt>
                <c:pt idx="64">
                  <c:v>1932295</c:v>
                </c:pt>
                <c:pt idx="65">
                  <c:v>1921986</c:v>
                </c:pt>
                <c:pt idx="66">
                  <c:v>1911706</c:v>
                </c:pt>
                <c:pt idx="67">
                  <c:v>1901457</c:v>
                </c:pt>
                <c:pt idx="68">
                  <c:v>1891241</c:v>
                </c:pt>
                <c:pt idx="69">
                  <c:v>1881060</c:v>
                </c:pt>
                <c:pt idx="70">
                  <c:v>1870913</c:v>
                </c:pt>
                <c:pt idx="71">
                  <c:v>1860803</c:v>
                </c:pt>
                <c:pt idx="72">
                  <c:v>1850730</c:v>
                </c:pt>
                <c:pt idx="73">
                  <c:v>1840694</c:v>
                </c:pt>
                <c:pt idx="74">
                  <c:v>1830695</c:v>
                </c:pt>
                <c:pt idx="75">
                  <c:v>1820735</c:v>
                </c:pt>
                <c:pt idx="76">
                  <c:v>1810812</c:v>
                </c:pt>
                <c:pt idx="77">
                  <c:v>1800927</c:v>
                </c:pt>
                <c:pt idx="78">
                  <c:v>1791080</c:v>
                </c:pt>
                <c:pt idx="79">
                  <c:v>1781271</c:v>
                </c:pt>
                <c:pt idx="80">
                  <c:v>1771499</c:v>
                </c:pt>
                <c:pt idx="81">
                  <c:v>1761766</c:v>
                </c:pt>
                <c:pt idx="82">
                  <c:v>1752070</c:v>
                </c:pt>
                <c:pt idx="83">
                  <c:v>1742413</c:v>
                </c:pt>
              </c:numCache>
            </c:numRef>
          </c:val>
        </c:ser>
        <c:ser>
          <c:idx val="2"/>
          <c:order val="2"/>
          <c:tx>
            <c:v>Tyrvaya</c:v>
          </c:tx>
          <c:spPr>
            <a:solidFill>
              <a:srgbClr val="D97706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Portfolio!$M$5:$M$88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84171</c:v>
                </c:pt>
                <c:pt idx="42">
                  <c:v>101139</c:v>
                </c:pt>
                <c:pt idx="43">
                  <c:v>121187</c:v>
                </c:pt>
                <c:pt idx="44">
                  <c:v>144726</c:v>
                </c:pt>
                <c:pt idx="45">
                  <c:v>172165</c:v>
                </c:pt>
                <c:pt idx="46">
                  <c:v>203879</c:v>
                </c:pt>
                <c:pt idx="47">
                  <c:v>240174</c:v>
                </c:pt>
                <c:pt idx="48">
                  <c:v>238656</c:v>
                </c:pt>
                <c:pt idx="49">
                  <c:v>277124</c:v>
                </c:pt>
                <c:pt idx="50">
                  <c:v>319389</c:v>
                </c:pt>
                <c:pt idx="51">
                  <c:v>365086</c:v>
                </c:pt>
                <c:pt idx="52">
                  <c:v>413638</c:v>
                </c:pt>
                <c:pt idx="53">
                  <c:v>464265</c:v>
                </c:pt>
                <c:pt idx="54">
                  <c:v>516022</c:v>
                </c:pt>
                <c:pt idx="55">
                  <c:v>567862</c:v>
                </c:pt>
                <c:pt idx="56">
                  <c:v>618714</c:v>
                </c:pt>
                <c:pt idx="57">
                  <c:v>667565</c:v>
                </c:pt>
                <c:pt idx="58">
                  <c:v>713539</c:v>
                </c:pt>
                <c:pt idx="59">
                  <c:v>755947</c:v>
                </c:pt>
                <c:pt idx="60">
                  <c:v>794319</c:v>
                </c:pt>
                <c:pt idx="61">
                  <c:v>828403</c:v>
                </c:pt>
                <c:pt idx="62">
                  <c:v>858148</c:v>
                </c:pt>
                <c:pt idx="63">
                  <c:v>883665</c:v>
                </c:pt>
                <c:pt idx="64">
                  <c:v>905190</c:v>
                </c:pt>
                <c:pt idx="65">
                  <c:v>923040</c:v>
                </c:pt>
                <c:pt idx="66">
                  <c:v>937578</c:v>
                </c:pt>
                <c:pt idx="67">
                  <c:v>949183</c:v>
                </c:pt>
                <c:pt idx="68">
                  <c:v>958229</c:v>
                </c:pt>
                <c:pt idx="69">
                  <c:v>965069</c:v>
                </c:pt>
                <c:pt idx="70">
                  <c:v>970026</c:v>
                </c:pt>
                <c:pt idx="71">
                  <c:v>973390</c:v>
                </c:pt>
                <c:pt idx="72">
                  <c:v>975416</c:v>
                </c:pt>
                <c:pt idx="73">
                  <c:v>976324</c:v>
                </c:pt>
                <c:pt idx="74">
                  <c:v>976303</c:v>
                </c:pt>
                <c:pt idx="75">
                  <c:v>975513</c:v>
                </c:pt>
                <c:pt idx="76">
                  <c:v>974090</c:v>
                </c:pt>
                <c:pt idx="77">
                  <c:v>972146</c:v>
                </c:pt>
                <c:pt idx="78">
                  <c:v>969776</c:v>
                </c:pt>
                <c:pt idx="79">
                  <c:v>967058</c:v>
                </c:pt>
                <c:pt idx="80">
                  <c:v>964056</c:v>
                </c:pt>
                <c:pt idx="81">
                  <c:v>960823</c:v>
                </c:pt>
                <c:pt idx="82">
                  <c:v>957405</c:v>
                </c:pt>
                <c:pt idx="83">
                  <c:v>953836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" sourceLinked="0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Facharzt-Adoption (verordnende Augenaerzte)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RYZUMVI Verordner</c:v>
          </c:tx>
          <c:spPr>
            <a:ln w="31750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Portfolio!$F$5:$F$88</c:f>
              <c:numCache>
                <c:formatCode>General</c:formatCode>
                <c:ptCount val="84"/>
                <c:pt idx="0">
                  <c:v>189</c:v>
                </c:pt>
                <c:pt idx="1">
                  <c:v>273</c:v>
                </c:pt>
                <c:pt idx="2">
                  <c:v>390</c:v>
                </c:pt>
                <c:pt idx="3">
                  <c:v>547</c:v>
                </c:pt>
                <c:pt idx="4">
                  <c:v>749</c:v>
                </c:pt>
                <c:pt idx="5">
                  <c:v>995</c:v>
                </c:pt>
                <c:pt idx="6">
                  <c:v>1277</c:v>
                </c:pt>
                <c:pt idx="7">
                  <c:v>1575</c:v>
                </c:pt>
                <c:pt idx="8">
                  <c:v>1867</c:v>
                </c:pt>
                <c:pt idx="9">
                  <c:v>2133</c:v>
                </c:pt>
                <c:pt idx="10">
                  <c:v>2358</c:v>
                </c:pt>
                <c:pt idx="11">
                  <c:v>2537</c:v>
                </c:pt>
                <c:pt idx="12">
                  <c:v>2673</c:v>
                </c:pt>
                <c:pt idx="13">
                  <c:v>2772</c:v>
                </c:pt>
                <c:pt idx="14">
                  <c:v>2844</c:v>
                </c:pt>
                <c:pt idx="15">
                  <c:v>2893</c:v>
                </c:pt>
                <c:pt idx="16">
                  <c:v>2928</c:v>
                </c:pt>
                <c:pt idx="17">
                  <c:v>2951</c:v>
                </c:pt>
                <c:pt idx="18">
                  <c:v>2967</c:v>
                </c:pt>
                <c:pt idx="19">
                  <c:v>2978</c:v>
                </c:pt>
                <c:pt idx="20">
                  <c:v>2985</c:v>
                </c:pt>
                <c:pt idx="21">
                  <c:v>2990</c:v>
                </c:pt>
                <c:pt idx="22">
                  <c:v>2993</c:v>
                </c:pt>
                <c:pt idx="23">
                  <c:v>2995</c:v>
                </c:pt>
                <c:pt idx="24">
                  <c:v>2997</c:v>
                </c:pt>
                <c:pt idx="25">
                  <c:v>2998</c:v>
                </c:pt>
                <c:pt idx="26">
                  <c:v>2999</c:v>
                </c:pt>
                <c:pt idx="27">
                  <c:v>2999</c:v>
                </c:pt>
                <c:pt idx="28">
                  <c:v>2999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3000</c:v>
                </c:pt>
                <c:pt idx="71">
                  <c:v>3000</c:v>
                </c:pt>
                <c:pt idx="72">
                  <c:v>3000</c:v>
                </c:pt>
                <c:pt idx="73">
                  <c:v>3000</c:v>
                </c:pt>
                <c:pt idx="74">
                  <c:v>3000</c:v>
                </c:pt>
                <c:pt idx="75">
                  <c:v>3000</c:v>
                </c:pt>
                <c:pt idx="76">
                  <c:v>3000</c:v>
                </c:pt>
                <c:pt idx="77">
                  <c:v>3000</c:v>
                </c:pt>
                <c:pt idx="78">
                  <c:v>3000</c:v>
                </c:pt>
                <c:pt idx="79">
                  <c:v>3000</c:v>
                </c:pt>
                <c:pt idx="80">
                  <c:v>3000</c:v>
                </c:pt>
                <c:pt idx="81">
                  <c:v>3000</c:v>
                </c:pt>
                <c:pt idx="82">
                  <c:v>3000</c:v>
                </c:pt>
                <c:pt idx="83">
                  <c:v>3000</c:v>
                </c:pt>
              </c:numCache>
            </c:numRef>
          </c:val>
        </c:ser>
        <c:ser>
          <c:idx val="1"/>
          <c:order val="1"/>
          <c:tx>
            <c:v>MR-141 Verordner</c:v>
          </c:tx>
          <c:spPr>
            <a:ln w="31750">
              <a:solidFill>
                <a:srgbClr val="1E3A5F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Portfolio!$J$5:$J$88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157</c:v>
                </c:pt>
                <c:pt idx="18">
                  <c:v>214</c:v>
                </c:pt>
                <c:pt idx="19">
                  <c:v>289</c:v>
                </c:pt>
                <c:pt idx="20">
                  <c:v>386</c:v>
                </c:pt>
                <c:pt idx="21">
                  <c:v>508</c:v>
                </c:pt>
                <c:pt idx="22">
                  <c:v>656</c:v>
                </c:pt>
                <c:pt idx="23">
                  <c:v>830</c:v>
                </c:pt>
                <c:pt idx="24">
                  <c:v>1023</c:v>
                </c:pt>
                <c:pt idx="25">
                  <c:v>1229</c:v>
                </c:pt>
                <c:pt idx="26">
                  <c:v>1436</c:v>
                </c:pt>
                <c:pt idx="27">
                  <c:v>1633</c:v>
                </c:pt>
                <c:pt idx="28">
                  <c:v>1811</c:v>
                </c:pt>
                <c:pt idx="29">
                  <c:v>1965</c:v>
                </c:pt>
                <c:pt idx="30">
                  <c:v>2092</c:v>
                </c:pt>
                <c:pt idx="31">
                  <c:v>2193</c:v>
                </c:pt>
                <c:pt idx="32">
                  <c:v>2272</c:v>
                </c:pt>
                <c:pt idx="33">
                  <c:v>2332</c:v>
                </c:pt>
                <c:pt idx="34">
                  <c:v>2378</c:v>
                </c:pt>
                <c:pt idx="35">
                  <c:v>2411</c:v>
                </c:pt>
                <c:pt idx="36">
                  <c:v>2436</c:v>
                </c:pt>
                <c:pt idx="37">
                  <c:v>2454</c:v>
                </c:pt>
                <c:pt idx="38">
                  <c:v>2467</c:v>
                </c:pt>
                <c:pt idx="39">
                  <c:v>2476</c:v>
                </c:pt>
                <c:pt idx="40">
                  <c:v>2483</c:v>
                </c:pt>
                <c:pt idx="41">
                  <c:v>2488</c:v>
                </c:pt>
                <c:pt idx="42">
                  <c:v>2491</c:v>
                </c:pt>
                <c:pt idx="43">
                  <c:v>2494</c:v>
                </c:pt>
                <c:pt idx="44">
                  <c:v>2495</c:v>
                </c:pt>
                <c:pt idx="45">
                  <c:v>2497</c:v>
                </c:pt>
                <c:pt idx="46">
                  <c:v>2498</c:v>
                </c:pt>
                <c:pt idx="47">
                  <c:v>2498</c:v>
                </c:pt>
                <c:pt idx="48">
                  <c:v>2499</c:v>
                </c:pt>
                <c:pt idx="49">
                  <c:v>2499</c:v>
                </c:pt>
                <c:pt idx="50">
                  <c:v>2499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2500</c:v>
                </c:pt>
                <c:pt idx="60">
                  <c:v>2500</c:v>
                </c:pt>
                <c:pt idx="61">
                  <c:v>2500</c:v>
                </c:pt>
                <c:pt idx="62">
                  <c:v>2500</c:v>
                </c:pt>
                <c:pt idx="63">
                  <c:v>2500</c:v>
                </c:pt>
                <c:pt idx="64">
                  <c:v>2500</c:v>
                </c:pt>
                <c:pt idx="65">
                  <c:v>2500</c:v>
                </c:pt>
                <c:pt idx="66">
                  <c:v>2500</c:v>
                </c:pt>
                <c:pt idx="67">
                  <c:v>2500</c:v>
                </c:pt>
                <c:pt idx="68">
                  <c:v>2500</c:v>
                </c:pt>
                <c:pt idx="69">
                  <c:v>2500</c:v>
                </c:pt>
                <c:pt idx="70">
                  <c:v>2500</c:v>
                </c:pt>
                <c:pt idx="71">
                  <c:v>2500</c:v>
                </c:pt>
                <c:pt idx="72">
                  <c:v>2500</c:v>
                </c:pt>
                <c:pt idx="73">
                  <c:v>2500</c:v>
                </c:pt>
                <c:pt idx="74">
                  <c:v>2500</c:v>
                </c:pt>
                <c:pt idx="75">
                  <c:v>2500</c:v>
                </c:pt>
                <c:pt idx="76">
                  <c:v>2500</c:v>
                </c:pt>
                <c:pt idx="77">
                  <c:v>2500</c:v>
                </c:pt>
                <c:pt idx="78">
                  <c:v>2500</c:v>
                </c:pt>
                <c:pt idx="79">
                  <c:v>2500</c:v>
                </c:pt>
                <c:pt idx="80">
                  <c:v>2500</c:v>
                </c:pt>
                <c:pt idx="81">
                  <c:v>2500</c:v>
                </c:pt>
                <c:pt idx="82">
                  <c:v>2500</c:v>
                </c:pt>
                <c:pt idx="83">
                  <c:v>2500</c:v>
                </c:pt>
              </c:numCache>
            </c:numRef>
          </c:val>
        </c:ser>
        <c:ser>
          <c:idx val="2"/>
          <c:order val="2"/>
          <c:tx>
            <c:v>Tyrvaya Verordner</c:v>
          </c:tx>
          <c:spPr>
            <a:ln w="31750">
              <a:solidFill>
                <a:srgbClr val="D97706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Portfolio!$N$5:$N$88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220</c:v>
                </c:pt>
                <c:pt idx="42">
                  <c:v>278</c:v>
                </c:pt>
                <c:pt idx="43">
                  <c:v>349</c:v>
                </c:pt>
                <c:pt idx="44">
                  <c:v>436</c:v>
                </c:pt>
                <c:pt idx="45">
                  <c:v>541</c:v>
                </c:pt>
                <c:pt idx="46">
                  <c:v>665</c:v>
                </c:pt>
                <c:pt idx="47">
                  <c:v>810</c:v>
                </c:pt>
                <c:pt idx="48">
                  <c:v>976</c:v>
                </c:pt>
                <c:pt idx="49">
                  <c:v>1161</c:v>
                </c:pt>
                <c:pt idx="50">
                  <c:v>1363</c:v>
                </c:pt>
                <c:pt idx="51">
                  <c:v>1576</c:v>
                </c:pt>
                <c:pt idx="52">
                  <c:v>1794</c:v>
                </c:pt>
                <c:pt idx="53">
                  <c:v>2011</c:v>
                </c:pt>
                <c:pt idx="54">
                  <c:v>2219</c:v>
                </c:pt>
                <c:pt idx="55">
                  <c:v>2415</c:v>
                </c:pt>
                <c:pt idx="56">
                  <c:v>2593</c:v>
                </c:pt>
                <c:pt idx="57">
                  <c:v>2750</c:v>
                </c:pt>
                <c:pt idx="58">
                  <c:v>2887</c:v>
                </c:pt>
                <c:pt idx="59">
                  <c:v>3004</c:v>
                </c:pt>
                <c:pt idx="60">
                  <c:v>3101</c:v>
                </c:pt>
                <c:pt idx="61">
                  <c:v>3181</c:v>
                </c:pt>
                <c:pt idx="62">
                  <c:v>3247</c:v>
                </c:pt>
                <c:pt idx="63">
                  <c:v>3299</c:v>
                </c:pt>
                <c:pt idx="64">
                  <c:v>3342</c:v>
                </c:pt>
                <c:pt idx="65">
                  <c:v>3376</c:v>
                </c:pt>
                <c:pt idx="66">
                  <c:v>3402</c:v>
                </c:pt>
                <c:pt idx="67">
                  <c:v>3423</c:v>
                </c:pt>
                <c:pt idx="68">
                  <c:v>3440</c:v>
                </c:pt>
                <c:pt idx="69">
                  <c:v>3453</c:v>
                </c:pt>
                <c:pt idx="70">
                  <c:v>3463</c:v>
                </c:pt>
                <c:pt idx="71">
                  <c:v>3471</c:v>
                </c:pt>
                <c:pt idx="72">
                  <c:v>3478</c:v>
                </c:pt>
                <c:pt idx="73">
                  <c:v>3483</c:v>
                </c:pt>
                <c:pt idx="74">
                  <c:v>3486</c:v>
                </c:pt>
                <c:pt idx="75">
                  <c:v>3489</c:v>
                </c:pt>
                <c:pt idx="76">
                  <c:v>3492</c:v>
                </c:pt>
                <c:pt idx="77">
                  <c:v>3494</c:v>
                </c:pt>
                <c:pt idx="78">
                  <c:v>3495</c:v>
                </c:pt>
                <c:pt idx="79">
                  <c:v>3496</c:v>
                </c:pt>
                <c:pt idx="80">
                  <c:v>3497</c:v>
                </c:pt>
                <c:pt idx="81">
                  <c:v>3498</c:v>
                </c:pt>
                <c:pt idx="82">
                  <c:v>3498</c:v>
                </c:pt>
                <c:pt idx="83">
                  <c:v>3499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Anzahl Verordner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Kumuliert: Umsatz, Gewinn, GTM-Invest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Kum. Umsatz</c:v>
          </c:tx>
          <c:spPr>
            <a:ln w="31750">
              <a:solidFill>
                <a:srgbClr val="1E3A5F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Forecast!$J$9:$J$92</c:f>
              <c:numCache>
                <c:formatCode>General</c:formatCode>
                <c:ptCount val="84"/>
                <c:pt idx="0">
                  <c:v>157433</c:v>
                </c:pt>
                <c:pt idx="1">
                  <c:v>371809</c:v>
                </c:pt>
                <c:pt idx="2">
                  <c:v>661177</c:v>
                </c:pt>
                <c:pt idx="3">
                  <c:v>1047340</c:v>
                </c:pt>
                <c:pt idx="4">
                  <c:v>1555237</c:v>
                </c:pt>
                <c:pt idx="5">
                  <c:v>2211333</c:v>
                </c:pt>
                <c:pt idx="6">
                  <c:v>2957286</c:v>
                </c:pt>
                <c:pt idx="7">
                  <c:v>3876775</c:v>
                </c:pt>
                <c:pt idx="8">
                  <c:v>4980250</c:v>
                </c:pt>
                <c:pt idx="9">
                  <c:v>6268423</c:v>
                </c:pt>
                <c:pt idx="10">
                  <c:v>7732082</c:v>
                </c:pt>
                <c:pt idx="11">
                  <c:v>9353934</c:v>
                </c:pt>
                <c:pt idx="12">
                  <c:v>11111727</c:v>
                </c:pt>
                <c:pt idx="13">
                  <c:v>12981565</c:v>
                </c:pt>
                <c:pt idx="14">
                  <c:v>14940561</c:v>
                </c:pt>
                <c:pt idx="15">
                  <c:v>16968479</c:v>
                </c:pt>
                <c:pt idx="16">
                  <c:v>19048425</c:v>
                </c:pt>
                <c:pt idx="17">
                  <c:v>21370912</c:v>
                </c:pt>
                <c:pt idx="18">
                  <c:v>23774116</c:v>
                </c:pt>
                <c:pt idx="19">
                  <c:v>26262207</c:v>
                </c:pt>
                <c:pt idx="20">
                  <c:v>28843350</c:v>
                </c:pt>
                <c:pt idx="21">
                  <c:v>31529144</c:v>
                </c:pt>
                <c:pt idx="22">
                  <c:v>34333887</c:v>
                </c:pt>
                <c:pt idx="23">
                  <c:v>37273618</c:v>
                </c:pt>
                <c:pt idx="24">
                  <c:v>40141241</c:v>
                </c:pt>
                <c:pt idx="25">
                  <c:v>43132157</c:v>
                </c:pt>
                <c:pt idx="26">
                  <c:v>46255121</c:v>
                </c:pt>
                <c:pt idx="27">
                  <c:v>49515776</c:v>
                </c:pt>
                <c:pt idx="28">
                  <c:v>52915796</c:v>
                </c:pt>
                <c:pt idx="29">
                  <c:v>56452498</c:v>
                </c:pt>
                <c:pt idx="30">
                  <c:v>60119002</c:v>
                </c:pt>
                <c:pt idx="31">
                  <c:v>63904904</c:v>
                </c:pt>
                <c:pt idx="32">
                  <c:v>67797281</c:v>
                </c:pt>
                <c:pt idx="33">
                  <c:v>71781834</c:v>
                </c:pt>
                <c:pt idx="34">
                  <c:v>75843952</c:v>
                </c:pt>
                <c:pt idx="35">
                  <c:v>79969562</c:v>
                </c:pt>
                <c:pt idx="36">
                  <c:v>84145728</c:v>
                </c:pt>
                <c:pt idx="37">
                  <c:v>88360976</c:v>
                </c:pt>
                <c:pt idx="38">
                  <c:v>92605422</c:v>
                </c:pt>
                <c:pt idx="39">
                  <c:v>96870742</c:v>
                </c:pt>
                <c:pt idx="40">
                  <c:v>101150055</c:v>
                </c:pt>
                <c:pt idx="41">
                  <c:v>105521924</c:v>
                </c:pt>
                <c:pt idx="42">
                  <c:v>109914630</c:v>
                </c:pt>
                <c:pt idx="43">
                  <c:v>114327649</c:v>
                </c:pt>
                <c:pt idx="44">
                  <c:v>118761620</c:v>
                </c:pt>
                <c:pt idx="45">
                  <c:v>123218198</c:v>
                </c:pt>
                <c:pt idx="46">
                  <c:v>127699902</c:v>
                </c:pt>
                <c:pt idx="47">
                  <c:v>132209945</c:v>
                </c:pt>
                <c:pt idx="48">
                  <c:v>136709455</c:v>
                </c:pt>
                <c:pt idx="49">
                  <c:v>141237601</c:v>
                </c:pt>
                <c:pt idx="50">
                  <c:v>145797551</c:v>
                </c:pt>
                <c:pt idx="51">
                  <c:v>150392261</c:v>
                </c:pt>
                <c:pt idx="52">
                  <c:v>155024221</c:v>
                </c:pt>
                <c:pt idx="53">
                  <c:v>159695236</c:v>
                </c:pt>
                <c:pt idx="54">
                  <c:v>164406234</c:v>
                </c:pt>
                <c:pt idx="55">
                  <c:v>169157150</c:v>
                </c:pt>
                <c:pt idx="56">
                  <c:v>173946893</c:v>
                </c:pt>
                <c:pt idx="57">
                  <c:v>178773391</c:v>
                </c:pt>
                <c:pt idx="58">
                  <c:v>183633719</c:v>
                </c:pt>
                <c:pt idx="59">
                  <c:v>188524287</c:v>
                </c:pt>
                <c:pt idx="60">
                  <c:v>193441047</c:v>
                </c:pt>
                <c:pt idx="61">
                  <c:v>198379713</c:v>
                </c:pt>
                <c:pt idx="62">
                  <c:v>203335956</c:v>
                </c:pt>
                <c:pt idx="63">
                  <c:v>208305564</c:v>
                </c:pt>
                <c:pt idx="64">
                  <c:v>213284570</c:v>
                </c:pt>
                <c:pt idx="65">
                  <c:v>218269324</c:v>
                </c:pt>
                <c:pt idx="66">
                  <c:v>223256544</c:v>
                </c:pt>
                <c:pt idx="67">
                  <c:v>228243331</c:v>
                </c:pt>
                <c:pt idx="68">
                  <c:v>233227160</c:v>
                </c:pt>
                <c:pt idx="69">
                  <c:v>238205860</c:v>
                </c:pt>
                <c:pt idx="70">
                  <c:v>243177585</c:v>
                </c:pt>
                <c:pt idx="71">
                  <c:v>248140781</c:v>
                </c:pt>
                <c:pt idx="72">
                  <c:v>253094147</c:v>
                </c:pt>
                <c:pt idx="73">
                  <c:v>258036604</c:v>
                </c:pt>
                <c:pt idx="74">
                  <c:v>262967261</c:v>
                </c:pt>
                <c:pt idx="75">
                  <c:v>267885391</c:v>
                </c:pt>
                <c:pt idx="76">
                  <c:v>272790398</c:v>
                </c:pt>
                <c:pt idx="77">
                  <c:v>277681801</c:v>
                </c:pt>
                <c:pt idx="78">
                  <c:v>282559213</c:v>
                </c:pt>
                <c:pt idx="79">
                  <c:v>287422327</c:v>
                </c:pt>
                <c:pt idx="80">
                  <c:v>292270896</c:v>
                </c:pt>
                <c:pt idx="81">
                  <c:v>297104731</c:v>
                </c:pt>
                <c:pt idx="82">
                  <c:v>301923685</c:v>
                </c:pt>
                <c:pt idx="83">
                  <c:v>306727645</c:v>
                </c:pt>
              </c:numCache>
            </c:numRef>
          </c:val>
        </c:ser>
        <c:ser>
          <c:idx val="1"/>
          <c:order val="1"/>
          <c:tx>
            <c:v>Kum. Gewinn</c:v>
          </c:tx>
          <c:spPr>
            <a:ln w="31750">
              <a:solidFill>
                <a:srgbClr val="27AE60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Forecast!$K$9:$K$92</c:f>
              <c:numCache>
                <c:formatCode>General</c:formatCode>
                <c:ptCount val="84"/>
                <c:pt idx="0">
                  <c:v>-581807</c:v>
                </c:pt>
                <c:pt idx="1">
                  <c:v>-1139171</c:v>
                </c:pt>
                <c:pt idx="2">
                  <c:v>-1656750</c:v>
                </c:pt>
                <c:pt idx="3">
                  <c:v>-2116011</c:v>
                </c:pt>
                <c:pt idx="4">
                  <c:v>-2495756</c:v>
                </c:pt>
                <c:pt idx="5">
                  <c:v>-2773492</c:v>
                </c:pt>
                <c:pt idx="6">
                  <c:v>-2998807</c:v>
                </c:pt>
                <c:pt idx="7">
                  <c:v>-3100575</c:v>
                </c:pt>
                <c:pt idx="8">
                  <c:v>-3069912</c:v>
                </c:pt>
                <c:pt idx="9">
                  <c:v>-2906215</c:v>
                </c:pt>
                <c:pt idx="10">
                  <c:v>-2617313</c:v>
                </c:pt>
                <c:pt idx="11">
                  <c:v>-2217906</c:v>
                </c:pt>
                <c:pt idx="12">
                  <c:v>-1469615</c:v>
                </c:pt>
                <c:pt idx="13">
                  <c:v>-642753</c:v>
                </c:pt>
                <c:pt idx="14">
                  <c:v>243227</c:v>
                </c:pt>
                <c:pt idx="15">
                  <c:v>1171124</c:v>
                </c:pt>
                <c:pt idx="16">
                  <c:v>2126578</c:v>
                </c:pt>
                <c:pt idx="17">
                  <c:v>3141525</c:v>
                </c:pt>
                <c:pt idx="18">
                  <c:v>4225082</c:v>
                </c:pt>
                <c:pt idx="19">
                  <c:v>5380792</c:v>
                </c:pt>
                <c:pt idx="20">
                  <c:v>6615597</c:v>
                </c:pt>
                <c:pt idx="21">
                  <c:v>7939354</c:v>
                </c:pt>
                <c:pt idx="22">
                  <c:v>9364219</c:v>
                </c:pt>
                <c:pt idx="23">
                  <c:v>10903824</c:v>
                </c:pt>
                <c:pt idx="24">
                  <c:v>12512136</c:v>
                </c:pt>
                <c:pt idx="25">
                  <c:v>14225248</c:v>
                </c:pt>
                <c:pt idx="26">
                  <c:v>16050600</c:v>
                </c:pt>
                <c:pt idx="27">
                  <c:v>17992990</c:v>
                </c:pt>
                <c:pt idx="28">
                  <c:v>20053840</c:v>
                </c:pt>
                <c:pt idx="29">
                  <c:v>22230869</c:v>
                </c:pt>
                <c:pt idx="30">
                  <c:v>24518231</c:v>
                </c:pt>
                <c:pt idx="31">
                  <c:v>26907080</c:v>
                </c:pt>
                <c:pt idx="32">
                  <c:v>29386434</c:v>
                </c:pt>
                <c:pt idx="33">
                  <c:v>31944137</c:v>
                </c:pt>
                <c:pt idx="34">
                  <c:v>34567770</c:v>
                </c:pt>
                <c:pt idx="35">
                  <c:v>37245372</c:v>
                </c:pt>
                <c:pt idx="36">
                  <c:v>39965946</c:v>
                </c:pt>
                <c:pt idx="37">
                  <c:v>42719740</c:v>
                </c:pt>
                <c:pt idx="38">
                  <c:v>45498352</c:v>
                </c:pt>
                <c:pt idx="39">
                  <c:v>48294707</c:v>
                </c:pt>
                <c:pt idx="40">
                  <c:v>51102956</c:v>
                </c:pt>
                <c:pt idx="41">
                  <c:v>53989877</c:v>
                </c:pt>
                <c:pt idx="42">
                  <c:v>56894510</c:v>
                </c:pt>
                <c:pt idx="43">
                  <c:v>59816410</c:v>
                </c:pt>
                <c:pt idx="44">
                  <c:v>62756118</c:v>
                </c:pt>
                <c:pt idx="45">
                  <c:v>65715042</c:v>
                </c:pt>
                <c:pt idx="46">
                  <c:v>68695323</c:v>
                </c:pt>
                <c:pt idx="47">
                  <c:v>71699693</c:v>
                </c:pt>
                <c:pt idx="48">
                  <c:v>74695110</c:v>
                </c:pt>
                <c:pt idx="49">
                  <c:v>77714867</c:v>
                </c:pt>
                <c:pt idx="50">
                  <c:v>80761658</c:v>
                </c:pt>
                <c:pt idx="51">
                  <c:v>83837993</c:v>
                </c:pt>
                <c:pt idx="52">
                  <c:v>86945993</c:v>
                </c:pt>
                <c:pt idx="53">
                  <c:v>90087188</c:v>
                </c:pt>
                <c:pt idx="54">
                  <c:v>93262369</c:v>
                </c:pt>
                <c:pt idx="55">
                  <c:v>96471482</c:v>
                </c:pt>
                <c:pt idx="56">
                  <c:v>99713596</c:v>
                </c:pt>
                <c:pt idx="57">
                  <c:v>102986952</c:v>
                </c:pt>
                <c:pt idx="58">
                  <c:v>106289064</c:v>
                </c:pt>
                <c:pt idx="59">
                  <c:v>109616880</c:v>
                </c:pt>
                <c:pt idx="60">
                  <c:v>112966959</c:v>
                </c:pt>
                <c:pt idx="61">
                  <c:v>116335658</c:v>
                </c:pt>
                <c:pt idx="62">
                  <c:v>119719297</c:v>
                </c:pt>
                <c:pt idx="63">
                  <c:v>123114298</c:v>
                </c:pt>
                <c:pt idx="64">
                  <c:v>126517285</c:v>
                </c:pt>
                <c:pt idx="65">
                  <c:v>129925159</c:v>
                </c:pt>
                <c:pt idx="66">
                  <c:v>133335130</c:v>
                </c:pt>
                <c:pt idx="67">
                  <c:v>136744732</c:v>
                </c:pt>
                <c:pt idx="68">
                  <c:v>140151819</c:v>
                </c:pt>
                <c:pt idx="69">
                  <c:v>143554547</c:v>
                </c:pt>
                <c:pt idx="70">
                  <c:v>146951347</c:v>
                </c:pt>
                <c:pt idx="71">
                  <c:v>150340896</c:v>
                </c:pt>
                <c:pt idx="72">
                  <c:v>153722090</c:v>
                </c:pt>
                <c:pt idx="73">
                  <c:v>157094011</c:v>
                </c:pt>
                <c:pt idx="74">
                  <c:v>160455903</c:v>
                </c:pt>
                <c:pt idx="75">
                  <c:v>163807146</c:v>
                </c:pt>
                <c:pt idx="76">
                  <c:v>167147235</c:v>
                </c:pt>
                <c:pt idx="77">
                  <c:v>170475761</c:v>
                </c:pt>
                <c:pt idx="78">
                  <c:v>173792394</c:v>
                </c:pt>
                <c:pt idx="79">
                  <c:v>177096874</c:v>
                </c:pt>
                <c:pt idx="80">
                  <c:v>180388991</c:v>
                </c:pt>
                <c:pt idx="81">
                  <c:v>183668584</c:v>
                </c:pt>
                <c:pt idx="82">
                  <c:v>186935527</c:v>
                </c:pt>
                <c:pt idx="83">
                  <c:v>190189726</c:v>
                </c:pt>
              </c:numCache>
            </c:numRef>
          </c:val>
        </c:ser>
        <c:ser>
          <c:idx val="2"/>
          <c:order val="2"/>
          <c:tx>
            <c:v>Kum. GTM-Invest</c:v>
          </c:tx>
          <c:spPr>
            <a:ln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Forecast!$L$9:$L$92</c:f>
              <c:numCache>
                <c:formatCode>General</c:formatCode>
                <c:ptCount val="84"/>
                <c:pt idx="0">
                  <c:v>715625</c:v>
                </c:pt>
                <c:pt idx="1">
                  <c:v>1455208</c:v>
                </c:pt>
                <c:pt idx="2">
                  <c:v>2218750</c:v>
                </c:pt>
                <c:pt idx="3">
                  <c:v>3006250</c:v>
                </c:pt>
                <c:pt idx="4">
                  <c:v>3817708</c:v>
                </c:pt>
                <c:pt idx="5">
                  <c:v>4653125</c:v>
                </c:pt>
                <c:pt idx="6">
                  <c:v>5512500</c:v>
                </c:pt>
                <c:pt idx="7">
                  <c:v>6395833</c:v>
                </c:pt>
                <c:pt idx="8">
                  <c:v>7303125</c:v>
                </c:pt>
                <c:pt idx="9">
                  <c:v>8234375</c:v>
                </c:pt>
                <c:pt idx="10">
                  <c:v>9189583</c:v>
                </c:pt>
                <c:pt idx="11">
                  <c:v>10168750</c:v>
                </c:pt>
                <c:pt idx="12">
                  <c:v>10914583</c:v>
                </c:pt>
                <c:pt idx="13">
                  <c:v>11677083</c:v>
                </c:pt>
                <c:pt idx="14">
                  <c:v>12456250</c:v>
                </c:pt>
                <c:pt idx="15">
                  <c:v>13252083</c:v>
                </c:pt>
                <c:pt idx="16">
                  <c:v>14064583</c:v>
                </c:pt>
                <c:pt idx="17">
                  <c:v>15023750</c:v>
                </c:pt>
                <c:pt idx="18">
                  <c:v>15982917</c:v>
                </c:pt>
                <c:pt idx="19">
                  <c:v>16942084</c:v>
                </c:pt>
                <c:pt idx="20">
                  <c:v>17901251</c:v>
                </c:pt>
                <c:pt idx="21">
                  <c:v>18860418</c:v>
                </c:pt>
                <c:pt idx="22">
                  <c:v>19819585</c:v>
                </c:pt>
                <c:pt idx="23">
                  <c:v>20778752</c:v>
                </c:pt>
                <c:pt idx="24">
                  <c:v>21607919</c:v>
                </c:pt>
                <c:pt idx="25">
                  <c:v>22437086</c:v>
                </c:pt>
                <c:pt idx="26">
                  <c:v>23266253</c:v>
                </c:pt>
                <c:pt idx="27">
                  <c:v>24095420</c:v>
                </c:pt>
                <c:pt idx="28">
                  <c:v>24924587</c:v>
                </c:pt>
                <c:pt idx="29">
                  <c:v>25753754</c:v>
                </c:pt>
                <c:pt idx="30">
                  <c:v>26582921</c:v>
                </c:pt>
                <c:pt idx="31">
                  <c:v>27412088</c:v>
                </c:pt>
                <c:pt idx="32">
                  <c:v>28241255</c:v>
                </c:pt>
                <c:pt idx="33">
                  <c:v>29070422</c:v>
                </c:pt>
                <c:pt idx="34">
                  <c:v>29899589</c:v>
                </c:pt>
                <c:pt idx="35">
                  <c:v>30728756</c:v>
                </c:pt>
                <c:pt idx="36">
                  <c:v>31557923</c:v>
                </c:pt>
                <c:pt idx="37">
                  <c:v>32387090</c:v>
                </c:pt>
                <c:pt idx="38">
                  <c:v>33216257</c:v>
                </c:pt>
                <c:pt idx="39">
                  <c:v>34045424</c:v>
                </c:pt>
                <c:pt idx="40">
                  <c:v>34874591</c:v>
                </c:pt>
                <c:pt idx="41">
                  <c:v>35703758</c:v>
                </c:pt>
                <c:pt idx="42">
                  <c:v>36532925</c:v>
                </c:pt>
                <c:pt idx="43">
                  <c:v>37362092</c:v>
                </c:pt>
                <c:pt idx="44">
                  <c:v>38191259</c:v>
                </c:pt>
                <c:pt idx="45">
                  <c:v>39020426</c:v>
                </c:pt>
                <c:pt idx="46">
                  <c:v>39849593</c:v>
                </c:pt>
                <c:pt idx="47">
                  <c:v>40678760</c:v>
                </c:pt>
                <c:pt idx="48">
                  <c:v>41507927</c:v>
                </c:pt>
                <c:pt idx="49">
                  <c:v>42337094</c:v>
                </c:pt>
                <c:pt idx="50">
                  <c:v>43166261</c:v>
                </c:pt>
                <c:pt idx="51">
                  <c:v>43995428</c:v>
                </c:pt>
                <c:pt idx="52">
                  <c:v>44824595</c:v>
                </c:pt>
                <c:pt idx="53">
                  <c:v>45653762</c:v>
                </c:pt>
                <c:pt idx="54">
                  <c:v>46482929</c:v>
                </c:pt>
                <c:pt idx="55">
                  <c:v>47312096</c:v>
                </c:pt>
                <c:pt idx="56">
                  <c:v>48141263</c:v>
                </c:pt>
                <c:pt idx="57">
                  <c:v>48970430</c:v>
                </c:pt>
                <c:pt idx="58">
                  <c:v>49799597</c:v>
                </c:pt>
                <c:pt idx="59">
                  <c:v>50628764</c:v>
                </c:pt>
                <c:pt idx="60">
                  <c:v>51457931</c:v>
                </c:pt>
                <c:pt idx="61">
                  <c:v>52287098</c:v>
                </c:pt>
                <c:pt idx="62">
                  <c:v>53116265</c:v>
                </c:pt>
                <c:pt idx="63">
                  <c:v>53945432</c:v>
                </c:pt>
                <c:pt idx="64">
                  <c:v>54774599</c:v>
                </c:pt>
                <c:pt idx="65">
                  <c:v>55603766</c:v>
                </c:pt>
                <c:pt idx="66">
                  <c:v>56432933</c:v>
                </c:pt>
                <c:pt idx="67">
                  <c:v>57262100</c:v>
                </c:pt>
                <c:pt idx="68">
                  <c:v>58091267</c:v>
                </c:pt>
                <c:pt idx="69">
                  <c:v>58920434</c:v>
                </c:pt>
                <c:pt idx="70">
                  <c:v>59749601</c:v>
                </c:pt>
                <c:pt idx="71">
                  <c:v>60578768</c:v>
                </c:pt>
                <c:pt idx="72">
                  <c:v>61407935</c:v>
                </c:pt>
                <c:pt idx="73">
                  <c:v>62237102</c:v>
                </c:pt>
                <c:pt idx="74">
                  <c:v>63066269</c:v>
                </c:pt>
                <c:pt idx="75">
                  <c:v>63895436</c:v>
                </c:pt>
                <c:pt idx="76">
                  <c:v>64724603</c:v>
                </c:pt>
                <c:pt idx="77">
                  <c:v>65553770</c:v>
                </c:pt>
                <c:pt idx="78">
                  <c:v>66382937</c:v>
                </c:pt>
                <c:pt idx="79">
                  <c:v>67212104</c:v>
                </c:pt>
                <c:pt idx="80">
                  <c:v>68041271</c:v>
                </c:pt>
                <c:pt idx="81">
                  <c:v>68870438</c:v>
                </c:pt>
                <c:pt idx="82">
                  <c:v>69699605</c:v>
                </c:pt>
                <c:pt idx="83">
                  <c:v>70528772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Monatl. Umsatz &amp; Aussendienst-Aufbau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1E3A5F"/>
            </a:solidFill>
          </c:spP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Forecast!$D$9:$D$92</c:f>
              <c:numCache>
                <c:formatCode>General</c:formatCode>
                <c:ptCount val="84"/>
                <c:pt idx="0">
                  <c:v>157433</c:v>
                </c:pt>
                <c:pt idx="1">
                  <c:v>214375</c:v>
                </c:pt>
                <c:pt idx="2">
                  <c:v>289368</c:v>
                </c:pt>
                <c:pt idx="3">
                  <c:v>386163</c:v>
                </c:pt>
                <c:pt idx="4">
                  <c:v>507897</c:v>
                </c:pt>
                <c:pt idx="5">
                  <c:v>656096</c:v>
                </c:pt>
                <c:pt idx="6">
                  <c:v>745952</c:v>
                </c:pt>
                <c:pt idx="7">
                  <c:v>919489</c:v>
                </c:pt>
                <c:pt idx="8">
                  <c:v>1103476</c:v>
                </c:pt>
                <c:pt idx="9">
                  <c:v>1288173</c:v>
                </c:pt>
                <c:pt idx="10">
                  <c:v>1463659</c:v>
                </c:pt>
                <c:pt idx="11">
                  <c:v>1621852</c:v>
                </c:pt>
                <c:pt idx="12">
                  <c:v>1757793</c:v>
                </c:pt>
                <c:pt idx="13">
                  <c:v>1869838</c:v>
                </c:pt>
                <c:pt idx="14">
                  <c:v>1958996</c:v>
                </c:pt>
                <c:pt idx="15">
                  <c:v>2027918</c:v>
                </c:pt>
                <c:pt idx="16">
                  <c:v>2079946</c:v>
                </c:pt>
                <c:pt idx="17">
                  <c:v>2322487</c:v>
                </c:pt>
                <c:pt idx="18">
                  <c:v>2403204</c:v>
                </c:pt>
                <c:pt idx="19">
                  <c:v>2488091</c:v>
                </c:pt>
                <c:pt idx="20">
                  <c:v>2581143</c:v>
                </c:pt>
                <c:pt idx="21">
                  <c:v>2685793</c:v>
                </c:pt>
                <c:pt idx="22">
                  <c:v>2804743</c:v>
                </c:pt>
                <c:pt idx="23">
                  <c:v>2939732</c:v>
                </c:pt>
                <c:pt idx="24">
                  <c:v>2867623</c:v>
                </c:pt>
                <c:pt idx="25">
                  <c:v>2990916</c:v>
                </c:pt>
                <c:pt idx="26">
                  <c:v>3122964</c:v>
                </c:pt>
                <c:pt idx="27">
                  <c:v>3260655</c:v>
                </c:pt>
                <c:pt idx="28">
                  <c:v>3400020</c:v>
                </c:pt>
                <c:pt idx="29">
                  <c:v>3536701</c:v>
                </c:pt>
                <c:pt idx="30">
                  <c:v>3666504</c:v>
                </c:pt>
                <c:pt idx="31">
                  <c:v>3785902</c:v>
                </c:pt>
                <c:pt idx="32">
                  <c:v>3892377</c:v>
                </c:pt>
                <c:pt idx="33">
                  <c:v>3984554</c:v>
                </c:pt>
                <c:pt idx="34">
                  <c:v>4062117</c:v>
                </c:pt>
                <c:pt idx="35">
                  <c:v>4125611</c:v>
                </c:pt>
                <c:pt idx="36">
                  <c:v>4176166</c:v>
                </c:pt>
                <c:pt idx="37">
                  <c:v>4215248</c:v>
                </c:pt>
                <c:pt idx="38">
                  <c:v>4244446</c:v>
                </c:pt>
                <c:pt idx="39">
                  <c:v>4265320</c:v>
                </c:pt>
                <c:pt idx="40">
                  <c:v>4279313</c:v>
                </c:pt>
                <c:pt idx="41">
                  <c:v>4371869</c:v>
                </c:pt>
                <c:pt idx="42">
                  <c:v>4392706</c:v>
                </c:pt>
                <c:pt idx="43">
                  <c:v>4413019</c:v>
                </c:pt>
                <c:pt idx="44">
                  <c:v>4433971</c:v>
                </c:pt>
                <c:pt idx="45">
                  <c:v>4456578</c:v>
                </c:pt>
                <c:pt idx="46">
                  <c:v>4481704</c:v>
                </c:pt>
                <c:pt idx="47">
                  <c:v>4510043</c:v>
                </c:pt>
                <c:pt idx="48">
                  <c:v>4499510</c:v>
                </c:pt>
                <c:pt idx="49">
                  <c:v>4528146</c:v>
                </c:pt>
                <c:pt idx="50">
                  <c:v>4559951</c:v>
                </c:pt>
                <c:pt idx="51">
                  <c:v>4594709</c:v>
                </c:pt>
                <c:pt idx="52">
                  <c:v>4631960</c:v>
                </c:pt>
                <c:pt idx="53">
                  <c:v>4671015</c:v>
                </c:pt>
                <c:pt idx="54">
                  <c:v>4710998</c:v>
                </c:pt>
                <c:pt idx="55">
                  <c:v>4750917</c:v>
                </c:pt>
                <c:pt idx="56">
                  <c:v>4789743</c:v>
                </c:pt>
                <c:pt idx="57">
                  <c:v>4826497</c:v>
                </c:pt>
                <c:pt idx="58">
                  <c:v>4860328</c:v>
                </c:pt>
                <c:pt idx="59">
                  <c:v>4890568</c:v>
                </c:pt>
                <c:pt idx="60">
                  <c:v>4916760</c:v>
                </c:pt>
                <c:pt idx="61">
                  <c:v>4938666</c:v>
                </c:pt>
                <c:pt idx="62">
                  <c:v>4956243</c:v>
                </c:pt>
                <c:pt idx="63">
                  <c:v>4969609</c:v>
                </c:pt>
                <c:pt idx="64">
                  <c:v>4979005</c:v>
                </c:pt>
                <c:pt idx="65">
                  <c:v>4984754</c:v>
                </c:pt>
                <c:pt idx="66">
                  <c:v>4987221</c:v>
                </c:pt>
                <c:pt idx="67">
                  <c:v>4986787</c:v>
                </c:pt>
                <c:pt idx="68">
                  <c:v>4983829</c:v>
                </c:pt>
                <c:pt idx="69">
                  <c:v>4978700</c:v>
                </c:pt>
                <c:pt idx="70">
                  <c:v>4971726</c:v>
                </c:pt>
                <c:pt idx="71">
                  <c:v>4963196</c:v>
                </c:pt>
                <c:pt idx="72">
                  <c:v>4953366</c:v>
                </c:pt>
                <c:pt idx="73">
                  <c:v>4942457</c:v>
                </c:pt>
                <c:pt idx="74">
                  <c:v>4930658</c:v>
                </c:pt>
                <c:pt idx="75">
                  <c:v>4918129</c:v>
                </c:pt>
                <c:pt idx="76">
                  <c:v>4905007</c:v>
                </c:pt>
                <c:pt idx="77">
                  <c:v>4891403</c:v>
                </c:pt>
                <c:pt idx="78">
                  <c:v>4877413</c:v>
                </c:pt>
                <c:pt idx="79">
                  <c:v>4863113</c:v>
                </c:pt>
                <c:pt idx="80">
                  <c:v>4848570</c:v>
                </c:pt>
                <c:pt idx="81">
                  <c:v>4833835</c:v>
                </c:pt>
                <c:pt idx="82">
                  <c:v>4818953</c:v>
                </c:pt>
                <c:pt idx="83">
                  <c:v>4803960</c:v>
                </c:pt>
              </c:numCache>
            </c:numRef>
          </c:val>
        </c:ser>
        <c:gapWidth val="50"/>
        <c:axId val="50040001"/>
        <c:axId val="50040002"/>
      </c:barChart>
      <c:lineChart>
        <c:grouping val="standard"/>
        <c:ser>
          <c:idx val="1"/>
          <c:order val="1"/>
          <c:tx>
            <c:v>Sales Reps</c:v>
          </c:tx>
          <c:spPr>
            <a:ln w="31750">
              <a:solidFill>
                <a:srgbClr val="D97706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Forecast!$F$9:$F$92</c:f>
              <c:numCache>
                <c:formatCode>General</c:formatCode>
                <c:ptCount val="84"/>
                <c:pt idx="0">
                  <c:v>17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42</c:v>
                </c:pt>
                <c:pt idx="16">
                  <c:v>43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EUR/Monat</a:t>
                </a:r>
              </a:p>
            </c:rich>
          </c:tx>
          <c:layout/>
        </c:title>
        <c:numFmt formatCode="€#,##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9</xdr:col>
      <xdr:colOff>609600</xdr:colOff>
      <xdr:row>109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110</xdr:row>
      <xdr:rowOff>0</xdr:rowOff>
    </xdr:from>
    <xdr:to>
      <xdr:col>9</xdr:col>
      <xdr:colOff>609600</xdr:colOff>
      <xdr:row>129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93</xdr:row>
      <xdr:rowOff>0</xdr:rowOff>
    </xdr:from>
    <xdr:to>
      <xdr:col>9</xdr:col>
      <xdr:colOff>609600</xdr:colOff>
      <xdr:row>113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9</xdr:col>
      <xdr:colOff>609600</xdr:colOff>
      <xdr:row>133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66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8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7">
        <v>1</v>
      </c>
      <c r="D7" s="6" t="s">
        <v>7</v>
      </c>
    </row>
    <row r="8" spans="2:4">
      <c r="B8" s="4" t="s">
        <v>8</v>
      </c>
      <c r="C8" s="7">
        <v>800000</v>
      </c>
      <c r="D8" s="6" t="s">
        <v>9</v>
      </c>
    </row>
    <row r="9" spans="2:4">
      <c r="B9" s="4" t="s">
        <v>10</v>
      </c>
      <c r="C9" s="8">
        <v>0.25</v>
      </c>
      <c r="D9" s="6" t="s">
        <v>11</v>
      </c>
    </row>
    <row r="10" spans="2:4">
      <c r="B10" s="4" t="s">
        <v>12</v>
      </c>
      <c r="C10" s="8">
        <v>0.5</v>
      </c>
      <c r="D10" s="6" t="s">
        <v>13</v>
      </c>
    </row>
    <row r="11" spans="2:4">
      <c r="B11" s="4" t="s">
        <v>14</v>
      </c>
      <c r="C11" s="9">
        <v>25</v>
      </c>
      <c r="D11" s="6" t="s">
        <v>15</v>
      </c>
    </row>
    <row r="12" spans="2:4">
      <c r="B12" s="4" t="s">
        <v>16</v>
      </c>
      <c r="C12" s="8">
        <v>0.1</v>
      </c>
      <c r="D12" s="6" t="s">
        <v>17</v>
      </c>
    </row>
    <row r="13" spans="2:4">
      <c r="B13" s="4" t="s">
        <v>18</v>
      </c>
      <c r="C13" s="7">
        <v>18</v>
      </c>
      <c r="D13" s="6" t="s">
        <v>19</v>
      </c>
    </row>
    <row r="14" spans="2:4">
      <c r="B14" s="4" t="s">
        <v>20</v>
      </c>
      <c r="C14" s="7">
        <v>3000</v>
      </c>
      <c r="D14" s="6" t="s">
        <v>21</v>
      </c>
    </row>
    <row r="15" spans="2:4">
      <c r="B15" s="4" t="s">
        <v>22</v>
      </c>
      <c r="C15" s="8">
        <v>0.2</v>
      </c>
      <c r="D15" s="6" t="s">
        <v>23</v>
      </c>
    </row>
    <row r="16" spans="2:4">
      <c r="B16" s="4" t="s">
        <v>24</v>
      </c>
      <c r="C16" s="8">
        <v>0.08</v>
      </c>
      <c r="D16" s="6" t="s">
        <v>25</v>
      </c>
    </row>
    <row r="18" spans="2:4">
      <c r="B18" s="3" t="s">
        <v>26</v>
      </c>
      <c r="C18" s="3"/>
      <c r="D18" s="3"/>
    </row>
    <row r="19" spans="2:4">
      <c r="B19" s="4" t="s">
        <v>3</v>
      </c>
      <c r="C19" s="5" t="s">
        <v>27</v>
      </c>
      <c r="D19" s="6" t="s">
        <v>28</v>
      </c>
    </row>
    <row r="20" spans="2:4">
      <c r="B20" s="4" t="s">
        <v>6</v>
      </c>
      <c r="C20" s="7">
        <v>18</v>
      </c>
      <c r="D20" s="6" t="s">
        <v>29</v>
      </c>
    </row>
    <row r="21" spans="2:4">
      <c r="B21" s="4" t="s">
        <v>30</v>
      </c>
      <c r="C21" s="7">
        <v>15000000</v>
      </c>
      <c r="D21" s="6" t="s">
        <v>31</v>
      </c>
    </row>
    <row r="22" spans="2:4">
      <c r="B22" s="4" t="s">
        <v>10</v>
      </c>
      <c r="C22" s="8">
        <v>0.02</v>
      </c>
      <c r="D22" s="6" t="s">
        <v>32</v>
      </c>
    </row>
    <row r="23" spans="2:4">
      <c r="B23" s="4" t="s">
        <v>12</v>
      </c>
      <c r="C23" s="8">
        <v>0.4</v>
      </c>
      <c r="D23" s="6" t="s">
        <v>33</v>
      </c>
    </row>
    <row r="24" spans="2:4">
      <c r="B24" s="4" t="s">
        <v>34</v>
      </c>
      <c r="C24" s="9">
        <v>45</v>
      </c>
      <c r="D24" s="6" t="s">
        <v>35</v>
      </c>
    </row>
    <row r="25" spans="2:4">
      <c r="B25" s="4" t="s">
        <v>16</v>
      </c>
      <c r="C25" s="8">
        <v>0.25</v>
      </c>
      <c r="D25" s="6" t="s">
        <v>36</v>
      </c>
    </row>
    <row r="26" spans="2:4">
      <c r="B26" s="4" t="s">
        <v>18</v>
      </c>
      <c r="C26" s="7">
        <v>24</v>
      </c>
      <c r="D26" s="6" t="s">
        <v>19</v>
      </c>
    </row>
    <row r="27" spans="2:4">
      <c r="B27" s="4" t="s">
        <v>37</v>
      </c>
      <c r="C27" s="8">
        <v>0.6</v>
      </c>
      <c r="D27" s="6" t="s">
        <v>38</v>
      </c>
    </row>
    <row r="28" spans="2:4">
      <c r="B28" s="4" t="s">
        <v>39</v>
      </c>
      <c r="C28" s="8">
        <v>-0.03</v>
      </c>
      <c r="D28" s="6" t="s">
        <v>40</v>
      </c>
    </row>
    <row r="30" spans="2:4">
      <c r="B30" s="3" t="s">
        <v>41</v>
      </c>
      <c r="C30" s="3"/>
      <c r="D30" s="3"/>
    </row>
    <row r="31" spans="2:4">
      <c r="B31" s="4" t="s">
        <v>3</v>
      </c>
      <c r="C31" s="5" t="s">
        <v>42</v>
      </c>
      <c r="D31" s="6" t="s">
        <v>43</v>
      </c>
    </row>
    <row r="32" spans="2:4">
      <c r="B32" s="4" t="s">
        <v>6</v>
      </c>
      <c r="C32" s="7">
        <v>42</v>
      </c>
      <c r="D32" s="6" t="s">
        <v>44</v>
      </c>
    </row>
    <row r="33" spans="2:4">
      <c r="B33" s="4" t="s">
        <v>45</v>
      </c>
      <c r="C33" s="7">
        <v>1700000</v>
      </c>
      <c r="D33" s="6" t="s">
        <v>46</v>
      </c>
    </row>
    <row r="34" spans="2:4">
      <c r="B34" s="4" t="s">
        <v>10</v>
      </c>
      <c r="C34" s="8">
        <v>0.12</v>
      </c>
      <c r="D34" s="6" t="s">
        <v>47</v>
      </c>
    </row>
    <row r="35" spans="2:4">
      <c r="B35" s="4" t="s">
        <v>12</v>
      </c>
      <c r="C35" s="8">
        <v>0.2</v>
      </c>
      <c r="D35" s="6" t="s">
        <v>48</v>
      </c>
    </row>
    <row r="36" spans="2:4">
      <c r="B36" s="4" t="s">
        <v>34</v>
      </c>
      <c r="C36" s="9">
        <v>140</v>
      </c>
      <c r="D36" s="6" t="s">
        <v>49</v>
      </c>
    </row>
    <row r="37" spans="2:4">
      <c r="B37" s="4" t="s">
        <v>16</v>
      </c>
      <c r="C37" s="8">
        <v>0.15</v>
      </c>
      <c r="D37" s="6" t="s">
        <v>50</v>
      </c>
    </row>
    <row r="38" spans="2:4">
      <c r="B38" s="4" t="s">
        <v>18</v>
      </c>
      <c r="C38" s="7">
        <v>30</v>
      </c>
      <c r="D38" s="6" t="s">
        <v>51</v>
      </c>
    </row>
    <row r="39" spans="2:4">
      <c r="B39" s="4" t="s">
        <v>37</v>
      </c>
      <c r="C39" s="8">
        <v>0.65</v>
      </c>
      <c r="D39" s="6" t="s">
        <v>52</v>
      </c>
    </row>
    <row r="40" spans="2:4">
      <c r="B40" s="4" t="s">
        <v>53</v>
      </c>
      <c r="C40" s="7">
        <v>3</v>
      </c>
      <c r="D40" s="6" t="s">
        <v>54</v>
      </c>
    </row>
    <row r="42" spans="2:4">
      <c r="B42" s="3" t="s">
        <v>55</v>
      </c>
      <c r="C42" s="3"/>
      <c r="D42" s="3"/>
    </row>
    <row r="43" spans="2:4">
      <c r="B43" s="4" t="s">
        <v>56</v>
      </c>
      <c r="C43" s="7">
        <v>15</v>
      </c>
      <c r="D43" s="6" t="s">
        <v>57</v>
      </c>
    </row>
    <row r="44" spans="2:4">
      <c r="B44" s="4" t="s">
        <v>58</v>
      </c>
      <c r="C44" s="7">
        <v>45</v>
      </c>
      <c r="D44" s="6" t="s">
        <v>59</v>
      </c>
    </row>
    <row r="45" spans="2:4">
      <c r="B45" s="4" t="s">
        <v>60</v>
      </c>
      <c r="C45" s="7">
        <v>18</v>
      </c>
      <c r="D45" s="6" t="s">
        <v>61</v>
      </c>
    </row>
    <row r="46" spans="2:4">
      <c r="B46" s="4" t="s">
        <v>62</v>
      </c>
      <c r="C46" s="7">
        <v>120000</v>
      </c>
      <c r="D46" s="6" t="s">
        <v>63</v>
      </c>
    </row>
    <row r="47" spans="2:4">
      <c r="B47" s="4" t="s">
        <v>64</v>
      </c>
      <c r="C47" s="7">
        <v>12</v>
      </c>
      <c r="D47" s="6" t="s">
        <v>65</v>
      </c>
    </row>
    <row r="48" spans="2:4">
      <c r="B48" s="4" t="s">
        <v>66</v>
      </c>
      <c r="C48" s="7">
        <v>150000</v>
      </c>
      <c r="D48" s="6" t="s">
        <v>67</v>
      </c>
    </row>
    <row r="49" spans="2:5">
      <c r="B49" s="4" t="s">
        <v>68</v>
      </c>
      <c r="C49" s="7">
        <v>400000</v>
      </c>
      <c r="D49" s="6" t="s">
        <v>69</v>
      </c>
    </row>
    <row r="50" spans="2:5">
      <c r="B50" s="4" t="s">
        <v>70</v>
      </c>
      <c r="C50" s="7">
        <v>150000</v>
      </c>
      <c r="D50" s="6" t="s">
        <v>71</v>
      </c>
    </row>
    <row r="51" spans="2:5">
      <c r="B51" s="4" t="s">
        <v>72</v>
      </c>
      <c r="C51" s="7">
        <v>12</v>
      </c>
      <c r="D51" s="6" t="s">
        <v>73</v>
      </c>
    </row>
    <row r="52" spans="2:5">
      <c r="B52" s="4" t="s">
        <v>74</v>
      </c>
      <c r="C52" s="7">
        <v>200000</v>
      </c>
      <c r="D52" s="6" t="s">
        <v>75</v>
      </c>
    </row>
    <row r="53" spans="2:5">
      <c r="B53" s="4" t="s">
        <v>76</v>
      </c>
      <c r="C53" s="7">
        <v>150000</v>
      </c>
      <c r="D53" s="6" t="s">
        <v>77</v>
      </c>
    </row>
    <row r="54" spans="2:5">
      <c r="B54" s="4" t="s">
        <v>78</v>
      </c>
      <c r="C54" s="7">
        <v>50000</v>
      </c>
      <c r="D54" s="6" t="s">
        <v>79</v>
      </c>
    </row>
    <row r="55" spans="2:5">
      <c r="B55" s="4" t="s">
        <v>80</v>
      </c>
      <c r="C55" s="8">
        <v>0.7</v>
      </c>
      <c r="D55" s="6" t="s">
        <v>81</v>
      </c>
    </row>
    <row r="56" spans="2:5">
      <c r="B56" s="4" t="s">
        <v>82</v>
      </c>
      <c r="C56" s="8">
        <v>0.6</v>
      </c>
      <c r="D56" s="6" t="s">
        <v>83</v>
      </c>
    </row>
    <row r="58" spans="2:5">
      <c r="B58" s="3" t="s">
        <v>84</v>
      </c>
      <c r="C58" s="3"/>
      <c r="D58" s="3"/>
    </row>
    <row r="59" spans="2:5">
      <c r="B59" s="10" t="s">
        <v>85</v>
      </c>
      <c r="C59" s="10" t="s">
        <v>86</v>
      </c>
      <c r="D59" s="10" t="s">
        <v>87</v>
      </c>
      <c r="E59" s="10" t="s">
        <v>88</v>
      </c>
    </row>
    <row r="60" spans="2:5">
      <c r="B60" s="4" t="s">
        <v>89</v>
      </c>
      <c r="C60" s="7">
        <v>60</v>
      </c>
      <c r="D60" s="7">
        <v>42</v>
      </c>
      <c r="E60" s="7">
        <v>30</v>
      </c>
    </row>
    <row r="61" spans="2:5">
      <c r="B61" s="4" t="s">
        <v>90</v>
      </c>
      <c r="C61" s="8">
        <v>0.12</v>
      </c>
      <c r="D61" s="8">
        <v>0.2</v>
      </c>
      <c r="E61" s="8">
        <v>0.25</v>
      </c>
    </row>
    <row r="62" spans="2:5">
      <c r="B62" s="4" t="s">
        <v>91</v>
      </c>
      <c r="C62" s="7">
        <v>24</v>
      </c>
      <c r="D62" s="7">
        <v>18</v>
      </c>
      <c r="E62" s="7">
        <v>12</v>
      </c>
    </row>
    <row r="63" spans="2:5">
      <c r="B63" s="4" t="s">
        <v>58</v>
      </c>
      <c r="C63" s="7">
        <v>35</v>
      </c>
      <c r="D63" s="7">
        <v>45</v>
      </c>
      <c r="E63" s="7">
        <v>60</v>
      </c>
    </row>
    <row r="64" spans="2:5">
      <c r="B64" s="4" t="s">
        <v>92</v>
      </c>
      <c r="C64" s="7">
        <v>24</v>
      </c>
      <c r="D64" s="7">
        <v>18</v>
      </c>
      <c r="E64" s="7">
        <v>12</v>
      </c>
    </row>
    <row r="65" spans="2:5">
      <c r="B65" s="4" t="s">
        <v>93</v>
      </c>
      <c r="C65" s="7">
        <v>30</v>
      </c>
      <c r="D65" s="7">
        <v>24</v>
      </c>
      <c r="E65" s="7">
        <v>18</v>
      </c>
    </row>
    <row r="66" spans="2:5">
      <c r="B66" s="4" t="s">
        <v>94</v>
      </c>
      <c r="C66" s="7">
        <v>36</v>
      </c>
      <c r="D66" s="7">
        <v>30</v>
      </c>
      <c r="E66" s="7">
        <v>24</v>
      </c>
    </row>
  </sheetData>
  <mergeCells count="7">
    <mergeCell ref="B2:D2"/>
    <mergeCell ref="B3:D3"/>
    <mergeCell ref="B5:D5"/>
    <mergeCell ref="B18:D18"/>
    <mergeCell ref="B30:D30"/>
    <mergeCell ref="B42:D42"/>
    <mergeCell ref="B58:D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F42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7" width="20.7109375" customWidth="1"/>
  </cols>
  <sheetData>
    <row r="2" spans="2:6">
      <c r="B2" s="1" t="s">
        <v>95</v>
      </c>
      <c r="C2" s="1"/>
      <c r="D2" s="1"/>
      <c r="E2" s="1"/>
      <c r="F2" s="1"/>
    </row>
    <row r="4" spans="2:6">
      <c r="B4" s="3" t="s">
        <v>96</v>
      </c>
      <c r="C4" s="3"/>
      <c r="D4" s="3"/>
      <c r="E4" s="3"/>
      <c r="F4" s="3"/>
    </row>
    <row r="5" spans="2:6">
      <c r="B5" s="4" t="s">
        <v>97</v>
      </c>
      <c r="C5" s="11" t="s">
        <v>98</v>
      </c>
      <c r="D5" s="11"/>
      <c r="E5" s="11"/>
      <c r="F5" s="11"/>
    </row>
    <row r="6" spans="2:6">
      <c r="B6" s="4" t="s">
        <v>99</v>
      </c>
      <c r="C6" s="11" t="s">
        <v>100</v>
      </c>
      <c r="D6" s="11"/>
      <c r="E6" s="11"/>
      <c r="F6" s="11"/>
    </row>
    <row r="7" spans="2:6">
      <c r="B7" s="4" t="s">
        <v>101</v>
      </c>
      <c r="C7" s="11" t="s">
        <v>102</v>
      </c>
      <c r="D7" s="11"/>
      <c r="E7" s="11"/>
      <c r="F7" s="11"/>
    </row>
    <row r="8" spans="2:6">
      <c r="B8" s="4" t="s">
        <v>103</v>
      </c>
      <c r="C8" s="11" t="s">
        <v>104</v>
      </c>
      <c r="D8" s="11"/>
      <c r="E8" s="11"/>
      <c r="F8" s="11"/>
    </row>
    <row r="9" spans="2:6">
      <c r="B9" s="4" t="s">
        <v>105</v>
      </c>
      <c r="C9" s="11" t="s">
        <v>106</v>
      </c>
      <c r="D9" s="11"/>
      <c r="E9" s="11"/>
      <c r="F9" s="11"/>
    </row>
    <row r="11" spans="2:6">
      <c r="B11" s="3" t="s">
        <v>107</v>
      </c>
      <c r="C11" s="3"/>
      <c r="D11" s="3"/>
      <c r="E11" s="3"/>
      <c r="F11" s="3"/>
    </row>
    <row r="12" spans="2:6">
      <c r="B12" s="4" t="s">
        <v>108</v>
      </c>
      <c r="C12" s="11" t="s">
        <v>109</v>
      </c>
      <c r="D12" s="11"/>
      <c r="E12" s="11"/>
      <c r="F12" s="11"/>
    </row>
    <row r="13" spans="2:6">
      <c r="B13" s="4" t="s">
        <v>110</v>
      </c>
      <c r="C13" s="11" t="s">
        <v>111</v>
      </c>
      <c r="D13" s="11"/>
      <c r="E13" s="11"/>
      <c r="F13" s="11"/>
    </row>
    <row r="14" spans="2:6">
      <c r="B14" s="4" t="s">
        <v>112</v>
      </c>
      <c r="C14" s="11" t="s">
        <v>113</v>
      </c>
      <c r="D14" s="11"/>
      <c r="E14" s="11"/>
      <c r="F14" s="11"/>
    </row>
    <row r="15" spans="2:6">
      <c r="B15" s="4" t="s">
        <v>114</v>
      </c>
      <c r="C15" s="11" t="s">
        <v>115</v>
      </c>
      <c r="D15" s="11"/>
      <c r="E15" s="11"/>
      <c r="F15" s="11"/>
    </row>
    <row r="16" spans="2:6">
      <c r="B16" s="4" t="s">
        <v>116</v>
      </c>
      <c r="C16" s="11" t="s">
        <v>117</v>
      </c>
      <c r="D16" s="11"/>
      <c r="E16" s="11"/>
      <c r="F16" s="11"/>
    </row>
    <row r="17" spans="2:6">
      <c r="B17" s="4" t="s">
        <v>118</v>
      </c>
      <c r="C17" s="11" t="s">
        <v>119</v>
      </c>
      <c r="D17" s="11"/>
      <c r="E17" s="11"/>
      <c r="F17" s="11"/>
    </row>
    <row r="18" spans="2:6">
      <c r="B18" s="4" t="s">
        <v>120</v>
      </c>
      <c r="C18" s="11" t="s">
        <v>121</v>
      </c>
      <c r="D18" s="11"/>
      <c r="E18" s="11"/>
      <c r="F18" s="11"/>
    </row>
    <row r="20" spans="2:6">
      <c r="B20" s="3" t="s">
        <v>122</v>
      </c>
      <c r="C20" s="3"/>
      <c r="D20" s="3"/>
      <c r="E20" s="3"/>
      <c r="F20" s="3"/>
    </row>
    <row r="21" spans="2:6" ht="30" customHeight="1">
      <c r="B21" s="10" t="s">
        <v>123</v>
      </c>
      <c r="C21" s="10" t="s">
        <v>124</v>
      </c>
      <c r="D21" s="10" t="s">
        <v>3</v>
      </c>
      <c r="E21" s="10" t="s">
        <v>125</v>
      </c>
      <c r="F21" s="10" t="s">
        <v>126</v>
      </c>
    </row>
    <row r="22" spans="2:6">
      <c r="B22" s="4" t="s">
        <v>127</v>
      </c>
      <c r="C22" s="11" t="s">
        <v>128</v>
      </c>
      <c r="D22" s="11" t="s">
        <v>129</v>
      </c>
      <c r="E22" s="11" t="s">
        <v>130</v>
      </c>
      <c r="F22" s="11" t="s">
        <v>131</v>
      </c>
    </row>
    <row r="23" spans="2:6">
      <c r="B23" s="4" t="s">
        <v>132</v>
      </c>
      <c r="C23" s="11" t="s">
        <v>133</v>
      </c>
      <c r="D23" s="11" t="s">
        <v>134</v>
      </c>
      <c r="E23" s="11" t="s">
        <v>135</v>
      </c>
      <c r="F23" s="11" t="s">
        <v>136</v>
      </c>
    </row>
    <row r="24" spans="2:6">
      <c r="B24" s="4" t="s">
        <v>137</v>
      </c>
      <c r="C24" s="11" t="s">
        <v>138</v>
      </c>
      <c r="D24" s="11" t="s">
        <v>139</v>
      </c>
      <c r="E24" s="11" t="s">
        <v>140</v>
      </c>
      <c r="F24" s="11" t="s">
        <v>141</v>
      </c>
    </row>
    <row r="25" spans="2:6">
      <c r="B25" s="4" t="s">
        <v>142</v>
      </c>
      <c r="C25" s="11" t="s">
        <v>143</v>
      </c>
      <c r="D25" s="11" t="s">
        <v>144</v>
      </c>
      <c r="E25" s="11" t="s">
        <v>145</v>
      </c>
      <c r="F25" s="11" t="s">
        <v>146</v>
      </c>
    </row>
    <row r="26" spans="2:6">
      <c r="B26" s="4" t="s">
        <v>147</v>
      </c>
      <c r="C26" s="11" t="s">
        <v>148</v>
      </c>
      <c r="D26" s="11" t="s">
        <v>149</v>
      </c>
      <c r="E26" s="11" t="s">
        <v>150</v>
      </c>
      <c r="F26" s="11" t="s">
        <v>151</v>
      </c>
    </row>
    <row r="28" spans="2:6">
      <c r="B28" s="3" t="s">
        <v>152</v>
      </c>
      <c r="C28" s="3"/>
      <c r="D28" s="3"/>
      <c r="E28" s="3"/>
      <c r="F28" s="3"/>
    </row>
    <row r="29" spans="2:6">
      <c r="B29" s="4" t="s">
        <v>153</v>
      </c>
      <c r="C29" s="11" t="s">
        <v>154</v>
      </c>
      <c r="D29" s="11"/>
      <c r="E29" s="11"/>
      <c r="F29" s="11"/>
    </row>
    <row r="30" spans="2:6">
      <c r="B30" s="4" t="s">
        <v>155</v>
      </c>
      <c r="C30" s="11" t="s">
        <v>156</v>
      </c>
      <c r="D30" s="11"/>
      <c r="E30" s="11"/>
      <c r="F30" s="11"/>
    </row>
    <row r="31" spans="2:6">
      <c r="B31" s="4" t="s">
        <v>157</v>
      </c>
      <c r="C31" s="11" t="s">
        <v>158</v>
      </c>
      <c r="D31" s="11"/>
      <c r="E31" s="11"/>
      <c r="F31" s="11"/>
    </row>
    <row r="32" spans="2:6">
      <c r="B32" s="4" t="s">
        <v>159</v>
      </c>
      <c r="C32" s="11" t="s">
        <v>160</v>
      </c>
      <c r="D32" s="11"/>
      <c r="E32" s="11"/>
      <c r="F32" s="11"/>
    </row>
    <row r="33" spans="2:6">
      <c r="B33" s="4" t="s">
        <v>161</v>
      </c>
      <c r="C33" s="11" t="s">
        <v>162</v>
      </c>
      <c r="D33" s="11"/>
      <c r="E33" s="11"/>
      <c r="F33" s="11"/>
    </row>
    <row r="34" spans="2:6">
      <c r="B34" s="4" t="s">
        <v>163</v>
      </c>
      <c r="C34" s="11" t="s">
        <v>164</v>
      </c>
      <c r="D34" s="11"/>
      <c r="E34" s="11"/>
      <c r="F34" s="11"/>
    </row>
    <row r="35" spans="2:6">
      <c r="B35" s="4" t="s">
        <v>165</v>
      </c>
      <c r="C35" s="11" t="s">
        <v>166</v>
      </c>
      <c r="D35" s="11"/>
      <c r="E35" s="11"/>
      <c r="F35" s="11"/>
    </row>
    <row r="37" spans="2:6">
      <c r="B37" s="3" t="s">
        <v>167</v>
      </c>
      <c r="C37" s="3"/>
      <c r="D37" s="3"/>
      <c r="E37" s="3"/>
      <c r="F37" s="3"/>
    </row>
    <row r="38" spans="2:6">
      <c r="B38" s="4" t="s">
        <v>168</v>
      </c>
      <c r="C38" s="11" t="s">
        <v>169</v>
      </c>
      <c r="D38" s="11"/>
      <c r="E38" s="11"/>
      <c r="F38" s="11"/>
    </row>
    <row r="39" spans="2:6">
      <c r="B39" s="4" t="s">
        <v>170</v>
      </c>
      <c r="C39" s="11" t="s">
        <v>171</v>
      </c>
      <c r="D39" s="11"/>
      <c r="E39" s="11"/>
      <c r="F39" s="11"/>
    </row>
    <row r="40" spans="2:6">
      <c r="B40" s="4" t="s">
        <v>172</v>
      </c>
      <c r="C40" s="11" t="s">
        <v>173</v>
      </c>
      <c r="D40" s="11"/>
      <c r="E40" s="11"/>
      <c r="F40" s="11"/>
    </row>
    <row r="41" spans="2:6">
      <c r="B41" s="4" t="s">
        <v>174</v>
      </c>
      <c r="C41" s="11" t="s">
        <v>175</v>
      </c>
      <c r="D41" s="11"/>
      <c r="E41" s="11"/>
      <c r="F41" s="11"/>
    </row>
    <row r="42" spans="2:6">
      <c r="B42" s="4" t="s">
        <v>176</v>
      </c>
      <c r="C42" s="11" t="s">
        <v>177</v>
      </c>
      <c r="D42" s="11"/>
      <c r="E42" s="11"/>
      <c r="F42" s="11"/>
    </row>
  </sheetData>
  <mergeCells count="30">
    <mergeCell ref="B2:F2"/>
    <mergeCell ref="B4:F4"/>
    <mergeCell ref="C5:F5"/>
    <mergeCell ref="C6:F6"/>
    <mergeCell ref="C7:F7"/>
    <mergeCell ref="C8:F8"/>
    <mergeCell ref="C9:F9"/>
    <mergeCell ref="B11:F11"/>
    <mergeCell ref="C12:F12"/>
    <mergeCell ref="C13:F13"/>
    <mergeCell ref="C14:F14"/>
    <mergeCell ref="C15:F15"/>
    <mergeCell ref="C16:F16"/>
    <mergeCell ref="C17:F17"/>
    <mergeCell ref="C18:F18"/>
    <mergeCell ref="B20:F20"/>
    <mergeCell ref="B28:F28"/>
    <mergeCell ref="C29:F29"/>
    <mergeCell ref="C30:F30"/>
    <mergeCell ref="C31:F31"/>
    <mergeCell ref="C32:F32"/>
    <mergeCell ref="C33:F33"/>
    <mergeCell ref="C34:F34"/>
    <mergeCell ref="C35:F35"/>
    <mergeCell ref="B37:F37"/>
    <mergeCell ref="C38:F38"/>
    <mergeCell ref="C39:F39"/>
    <mergeCell ref="C40:F40"/>
    <mergeCell ref="C41:F41"/>
    <mergeCell ref="C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C3AED"/>
  </sheetPr>
  <dimension ref="B2:O88"/>
  <sheetViews>
    <sheetView showGridLines="0" workbookViewId="0"/>
  </sheetViews>
  <sheetFormatPr defaultRowHeight="15"/>
  <cols>
    <col min="1" max="1" width="3.7109375" customWidth="1"/>
    <col min="2" max="2" width="10.7109375" customWidth="1"/>
    <col min="3" max="17" width="14.7109375" customWidth="1"/>
  </cols>
  <sheetData>
    <row r="2" spans="2:15">
      <c r="B2" s="1" t="s">
        <v>178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5" ht="35" customHeight="1">
      <c r="B4" s="10" t="s">
        <v>179</v>
      </c>
      <c r="C4" s="12" t="s">
        <v>180</v>
      </c>
      <c r="D4" s="12" t="s">
        <v>181</v>
      </c>
      <c r="E4" s="12" t="s">
        <v>182</v>
      </c>
      <c r="F4" s="12" t="s">
        <v>183</v>
      </c>
      <c r="G4" s="10" t="s">
        <v>184</v>
      </c>
      <c r="H4" s="10" t="s">
        <v>185</v>
      </c>
      <c r="I4" s="10" t="s">
        <v>186</v>
      </c>
      <c r="J4" s="10" t="s">
        <v>187</v>
      </c>
      <c r="K4" s="13" t="s">
        <v>188</v>
      </c>
      <c r="L4" s="13" t="s">
        <v>189</v>
      </c>
      <c r="M4" s="13" t="s">
        <v>190</v>
      </c>
      <c r="N4" s="13" t="s">
        <v>191</v>
      </c>
      <c r="O4" s="14" t="s">
        <v>192</v>
      </c>
    </row>
    <row r="5" spans="2:15">
      <c r="B5">
        <v>1</v>
      </c>
      <c r="C5" s="15">
        <v>6297</v>
      </c>
      <c r="D5" s="16">
        <v>25</v>
      </c>
      <c r="E5" s="17">
        <v>157433</v>
      </c>
      <c r="F5" s="15">
        <v>189</v>
      </c>
      <c r="G5" s="15">
        <v>0</v>
      </c>
      <c r="H5" s="16">
        <v>0</v>
      </c>
      <c r="I5" s="17">
        <v>0</v>
      </c>
      <c r="J5" s="15">
        <v>0</v>
      </c>
      <c r="K5" s="15">
        <v>0</v>
      </c>
      <c r="L5" s="16">
        <v>0</v>
      </c>
      <c r="M5" s="17">
        <v>0</v>
      </c>
      <c r="N5" s="15">
        <v>0</v>
      </c>
      <c r="O5" s="17">
        <v>157433</v>
      </c>
    </row>
    <row r="6" spans="2:15">
      <c r="B6" s="18">
        <v>2</v>
      </c>
      <c r="C6" s="19">
        <v>8575</v>
      </c>
      <c r="D6" s="20">
        <v>25</v>
      </c>
      <c r="E6" s="20">
        <v>214375</v>
      </c>
      <c r="F6" s="19">
        <v>273</v>
      </c>
      <c r="G6" s="19">
        <v>0</v>
      </c>
      <c r="H6" s="20">
        <v>0</v>
      </c>
      <c r="I6" s="20">
        <v>0</v>
      </c>
      <c r="J6" s="19">
        <v>0</v>
      </c>
      <c r="K6" s="19">
        <v>0</v>
      </c>
      <c r="L6" s="20">
        <v>0</v>
      </c>
      <c r="M6" s="20">
        <v>0</v>
      </c>
      <c r="N6" s="19">
        <v>0</v>
      </c>
      <c r="O6" s="20">
        <v>214375</v>
      </c>
    </row>
    <row r="7" spans="2:15">
      <c r="B7">
        <v>3</v>
      </c>
      <c r="C7" s="15">
        <v>11575</v>
      </c>
      <c r="D7" s="16">
        <v>25</v>
      </c>
      <c r="E7" s="17">
        <v>289368</v>
      </c>
      <c r="F7" s="15">
        <v>390</v>
      </c>
      <c r="G7" s="15">
        <v>0</v>
      </c>
      <c r="H7" s="16">
        <v>0</v>
      </c>
      <c r="I7" s="17">
        <v>0</v>
      </c>
      <c r="J7" s="15">
        <v>0</v>
      </c>
      <c r="K7" s="15">
        <v>0</v>
      </c>
      <c r="L7" s="16">
        <v>0</v>
      </c>
      <c r="M7" s="17">
        <v>0</v>
      </c>
      <c r="N7" s="15">
        <v>0</v>
      </c>
      <c r="O7" s="17">
        <v>289368</v>
      </c>
    </row>
    <row r="8" spans="2:15">
      <c r="B8" s="18">
        <v>4</v>
      </c>
      <c r="C8" s="19">
        <v>15447</v>
      </c>
      <c r="D8" s="20">
        <v>25</v>
      </c>
      <c r="E8" s="20">
        <v>386163</v>
      </c>
      <c r="F8" s="19">
        <v>547</v>
      </c>
      <c r="G8" s="19">
        <v>0</v>
      </c>
      <c r="H8" s="20">
        <v>0</v>
      </c>
      <c r="I8" s="20">
        <v>0</v>
      </c>
      <c r="J8" s="19">
        <v>0</v>
      </c>
      <c r="K8" s="19">
        <v>0</v>
      </c>
      <c r="L8" s="20">
        <v>0</v>
      </c>
      <c r="M8" s="20">
        <v>0</v>
      </c>
      <c r="N8" s="19">
        <v>0</v>
      </c>
      <c r="O8" s="20">
        <v>386163</v>
      </c>
    </row>
    <row r="9" spans="2:15">
      <c r="B9">
        <v>5</v>
      </c>
      <c r="C9" s="15">
        <v>20316</v>
      </c>
      <c r="D9" s="16">
        <v>25</v>
      </c>
      <c r="E9" s="17">
        <v>507897</v>
      </c>
      <c r="F9" s="15">
        <v>749</v>
      </c>
      <c r="G9" s="15">
        <v>0</v>
      </c>
      <c r="H9" s="16">
        <v>0</v>
      </c>
      <c r="I9" s="17">
        <v>0</v>
      </c>
      <c r="J9" s="15">
        <v>0</v>
      </c>
      <c r="K9" s="15">
        <v>0</v>
      </c>
      <c r="L9" s="16">
        <v>0</v>
      </c>
      <c r="M9" s="17">
        <v>0</v>
      </c>
      <c r="N9" s="15">
        <v>0</v>
      </c>
      <c r="O9" s="17">
        <v>507897</v>
      </c>
    </row>
    <row r="10" spans="2:15">
      <c r="B10" s="18">
        <v>6</v>
      </c>
      <c r="C10" s="19">
        <v>26244</v>
      </c>
      <c r="D10" s="20">
        <v>25</v>
      </c>
      <c r="E10" s="20">
        <v>656096</v>
      </c>
      <c r="F10" s="19">
        <v>995</v>
      </c>
      <c r="G10" s="19">
        <v>0</v>
      </c>
      <c r="H10" s="20">
        <v>0</v>
      </c>
      <c r="I10" s="20">
        <v>0</v>
      </c>
      <c r="J10" s="19">
        <v>0</v>
      </c>
      <c r="K10" s="19">
        <v>0</v>
      </c>
      <c r="L10" s="20">
        <v>0</v>
      </c>
      <c r="M10" s="20">
        <v>0</v>
      </c>
      <c r="N10" s="19">
        <v>0</v>
      </c>
      <c r="O10" s="20">
        <v>656096</v>
      </c>
    </row>
    <row r="11" spans="2:15">
      <c r="B11">
        <v>7</v>
      </c>
      <c r="C11" s="15">
        <v>33181</v>
      </c>
      <c r="D11" s="16">
        <v>22.48</v>
      </c>
      <c r="E11" s="17">
        <v>745952</v>
      </c>
      <c r="F11" s="15">
        <v>1277</v>
      </c>
      <c r="G11" s="15">
        <v>0</v>
      </c>
      <c r="H11" s="16">
        <v>0</v>
      </c>
      <c r="I11" s="17">
        <v>0</v>
      </c>
      <c r="J11" s="15">
        <v>0</v>
      </c>
      <c r="K11" s="15">
        <v>0</v>
      </c>
      <c r="L11" s="16">
        <v>0</v>
      </c>
      <c r="M11" s="17">
        <v>0</v>
      </c>
      <c r="N11" s="15">
        <v>0</v>
      </c>
      <c r="O11" s="17">
        <v>745952</v>
      </c>
    </row>
    <row r="12" spans="2:15">
      <c r="B12" s="18">
        <v>8</v>
      </c>
      <c r="C12" s="19">
        <v>40935</v>
      </c>
      <c r="D12" s="20">
        <v>22.46</v>
      </c>
      <c r="E12" s="20">
        <v>919489</v>
      </c>
      <c r="F12" s="19">
        <v>1575</v>
      </c>
      <c r="G12" s="19">
        <v>0</v>
      </c>
      <c r="H12" s="20">
        <v>0</v>
      </c>
      <c r="I12" s="20">
        <v>0</v>
      </c>
      <c r="J12" s="19">
        <v>0</v>
      </c>
      <c r="K12" s="19">
        <v>0</v>
      </c>
      <c r="L12" s="20">
        <v>0</v>
      </c>
      <c r="M12" s="20">
        <v>0</v>
      </c>
      <c r="N12" s="19">
        <v>0</v>
      </c>
      <c r="O12" s="20">
        <v>919489</v>
      </c>
    </row>
    <row r="13" spans="2:15">
      <c r="B13">
        <v>9</v>
      </c>
      <c r="C13" s="15">
        <v>49167</v>
      </c>
      <c r="D13" s="16">
        <v>22.44</v>
      </c>
      <c r="E13" s="17">
        <v>1103476</v>
      </c>
      <c r="F13" s="15">
        <v>1867</v>
      </c>
      <c r="G13" s="15">
        <v>0</v>
      </c>
      <c r="H13" s="16">
        <v>0</v>
      </c>
      <c r="I13" s="17">
        <v>0</v>
      </c>
      <c r="J13" s="15">
        <v>0</v>
      </c>
      <c r="K13" s="15">
        <v>0</v>
      </c>
      <c r="L13" s="16">
        <v>0</v>
      </c>
      <c r="M13" s="17">
        <v>0</v>
      </c>
      <c r="N13" s="15">
        <v>0</v>
      </c>
      <c r="O13" s="17">
        <v>1103476</v>
      </c>
    </row>
    <row r="14" spans="2:15">
      <c r="B14" s="18">
        <v>10</v>
      </c>
      <c r="C14" s="19">
        <v>57444</v>
      </c>
      <c r="D14" s="20">
        <v>22.42</v>
      </c>
      <c r="E14" s="20">
        <v>1288173</v>
      </c>
      <c r="F14" s="19">
        <v>2133</v>
      </c>
      <c r="G14" s="19">
        <v>0</v>
      </c>
      <c r="H14" s="20">
        <v>0</v>
      </c>
      <c r="I14" s="20">
        <v>0</v>
      </c>
      <c r="J14" s="19">
        <v>0</v>
      </c>
      <c r="K14" s="19">
        <v>0</v>
      </c>
      <c r="L14" s="20">
        <v>0</v>
      </c>
      <c r="M14" s="20">
        <v>0</v>
      </c>
      <c r="N14" s="19">
        <v>0</v>
      </c>
      <c r="O14" s="20">
        <v>1288173</v>
      </c>
    </row>
    <row r="15" spans="2:15">
      <c r="B15">
        <v>11</v>
      </c>
      <c r="C15" s="15">
        <v>65324</v>
      </c>
      <c r="D15" s="16">
        <v>22.41</v>
      </c>
      <c r="E15" s="17">
        <v>1463659</v>
      </c>
      <c r="F15" s="15">
        <v>2358</v>
      </c>
      <c r="G15" s="15">
        <v>0</v>
      </c>
      <c r="H15" s="16">
        <v>0</v>
      </c>
      <c r="I15" s="17">
        <v>0</v>
      </c>
      <c r="J15" s="15">
        <v>0</v>
      </c>
      <c r="K15" s="15">
        <v>0</v>
      </c>
      <c r="L15" s="16">
        <v>0</v>
      </c>
      <c r="M15" s="17">
        <v>0</v>
      </c>
      <c r="N15" s="15">
        <v>0</v>
      </c>
      <c r="O15" s="17">
        <v>1463659</v>
      </c>
    </row>
    <row r="16" spans="2:15">
      <c r="B16" s="18">
        <v>12</v>
      </c>
      <c r="C16" s="19">
        <v>72445</v>
      </c>
      <c r="D16" s="20">
        <v>22.39</v>
      </c>
      <c r="E16" s="20">
        <v>1621852</v>
      </c>
      <c r="F16" s="19">
        <v>2537</v>
      </c>
      <c r="G16" s="19">
        <v>0</v>
      </c>
      <c r="H16" s="20">
        <v>0</v>
      </c>
      <c r="I16" s="20">
        <v>0</v>
      </c>
      <c r="J16" s="19">
        <v>0</v>
      </c>
      <c r="K16" s="19">
        <v>0</v>
      </c>
      <c r="L16" s="20">
        <v>0</v>
      </c>
      <c r="M16" s="20">
        <v>0</v>
      </c>
      <c r="N16" s="19">
        <v>0</v>
      </c>
      <c r="O16" s="20">
        <v>1621852</v>
      </c>
    </row>
    <row r="17" spans="2:15">
      <c r="B17">
        <v>13</v>
      </c>
      <c r="C17" s="15">
        <v>78583</v>
      </c>
      <c r="D17" s="16">
        <v>22.37</v>
      </c>
      <c r="E17" s="17">
        <v>1757793</v>
      </c>
      <c r="F17" s="15">
        <v>2673</v>
      </c>
      <c r="G17" s="15">
        <v>0</v>
      </c>
      <c r="H17" s="16">
        <v>0</v>
      </c>
      <c r="I17" s="17">
        <v>0</v>
      </c>
      <c r="J17" s="15">
        <v>0</v>
      </c>
      <c r="K17" s="15">
        <v>0</v>
      </c>
      <c r="L17" s="16">
        <v>0</v>
      </c>
      <c r="M17" s="17">
        <v>0</v>
      </c>
      <c r="N17" s="15">
        <v>0</v>
      </c>
      <c r="O17" s="17">
        <v>1757793</v>
      </c>
    </row>
    <row r="18" spans="2:15">
      <c r="B18" s="18">
        <v>14</v>
      </c>
      <c r="C18" s="19">
        <v>83663</v>
      </c>
      <c r="D18" s="20">
        <v>22.35</v>
      </c>
      <c r="E18" s="20">
        <v>1869838</v>
      </c>
      <c r="F18" s="19">
        <v>2772</v>
      </c>
      <c r="G18" s="19">
        <v>0</v>
      </c>
      <c r="H18" s="20">
        <v>0</v>
      </c>
      <c r="I18" s="20">
        <v>0</v>
      </c>
      <c r="J18" s="19">
        <v>0</v>
      </c>
      <c r="K18" s="19">
        <v>0</v>
      </c>
      <c r="L18" s="20">
        <v>0</v>
      </c>
      <c r="M18" s="20">
        <v>0</v>
      </c>
      <c r="N18" s="19">
        <v>0</v>
      </c>
      <c r="O18" s="20">
        <v>1869838</v>
      </c>
    </row>
    <row r="19" spans="2:15">
      <c r="B19">
        <v>15</v>
      </c>
      <c r="C19" s="15">
        <v>87725</v>
      </c>
      <c r="D19" s="16">
        <v>22.33</v>
      </c>
      <c r="E19" s="17">
        <v>1958996</v>
      </c>
      <c r="F19" s="15">
        <v>2844</v>
      </c>
      <c r="G19" s="15">
        <v>0</v>
      </c>
      <c r="H19" s="16">
        <v>0</v>
      </c>
      <c r="I19" s="17">
        <v>0</v>
      </c>
      <c r="J19" s="15">
        <v>0</v>
      </c>
      <c r="K19" s="15">
        <v>0</v>
      </c>
      <c r="L19" s="16">
        <v>0</v>
      </c>
      <c r="M19" s="17">
        <v>0</v>
      </c>
      <c r="N19" s="15">
        <v>0</v>
      </c>
      <c r="O19" s="17">
        <v>1958996</v>
      </c>
    </row>
    <row r="20" spans="2:15">
      <c r="B20" s="18">
        <v>16</v>
      </c>
      <c r="C20" s="19">
        <v>90888</v>
      </c>
      <c r="D20" s="20">
        <v>22.31</v>
      </c>
      <c r="E20" s="20">
        <v>2027918</v>
      </c>
      <c r="F20" s="19">
        <v>2893</v>
      </c>
      <c r="G20" s="19">
        <v>0</v>
      </c>
      <c r="H20" s="20">
        <v>0</v>
      </c>
      <c r="I20" s="20">
        <v>0</v>
      </c>
      <c r="J20" s="19">
        <v>0</v>
      </c>
      <c r="K20" s="19">
        <v>0</v>
      </c>
      <c r="L20" s="20">
        <v>0</v>
      </c>
      <c r="M20" s="20">
        <v>0</v>
      </c>
      <c r="N20" s="19">
        <v>0</v>
      </c>
      <c r="O20" s="20">
        <v>2027918</v>
      </c>
    </row>
    <row r="21" spans="2:15">
      <c r="B21">
        <v>17</v>
      </c>
      <c r="C21" s="15">
        <v>93298</v>
      </c>
      <c r="D21" s="16">
        <v>22.29</v>
      </c>
      <c r="E21" s="17">
        <v>2079946</v>
      </c>
      <c r="F21" s="15">
        <v>2928</v>
      </c>
      <c r="G21" s="15">
        <v>0</v>
      </c>
      <c r="H21" s="16">
        <v>0</v>
      </c>
      <c r="I21" s="17">
        <v>0</v>
      </c>
      <c r="J21" s="15">
        <v>0</v>
      </c>
      <c r="K21" s="15">
        <v>0</v>
      </c>
      <c r="L21" s="16">
        <v>0</v>
      </c>
      <c r="M21" s="17">
        <v>0</v>
      </c>
      <c r="N21" s="15">
        <v>0</v>
      </c>
      <c r="O21" s="17">
        <v>2079946</v>
      </c>
    </row>
    <row r="22" spans="2:15">
      <c r="B22" s="18">
        <v>18</v>
      </c>
      <c r="C22" s="19">
        <v>95105</v>
      </c>
      <c r="D22" s="20">
        <v>22.27</v>
      </c>
      <c r="E22" s="20">
        <v>2118453</v>
      </c>
      <c r="F22" s="19">
        <v>2951</v>
      </c>
      <c r="G22" s="19">
        <v>4534</v>
      </c>
      <c r="H22" s="20">
        <v>45</v>
      </c>
      <c r="I22" s="20">
        <v>204034</v>
      </c>
      <c r="J22" s="19">
        <v>157</v>
      </c>
      <c r="K22" s="19">
        <v>0</v>
      </c>
      <c r="L22" s="20">
        <v>0</v>
      </c>
      <c r="M22" s="20">
        <v>0</v>
      </c>
      <c r="N22" s="19">
        <v>0</v>
      </c>
      <c r="O22" s="20">
        <v>2322487</v>
      </c>
    </row>
    <row r="23" spans="2:15">
      <c r="B23">
        <v>19</v>
      </c>
      <c r="C23" s="15">
        <v>96443</v>
      </c>
      <c r="D23" s="16">
        <v>22.26</v>
      </c>
      <c r="E23" s="17">
        <v>2146467</v>
      </c>
      <c r="F23" s="15">
        <v>2967</v>
      </c>
      <c r="G23" s="15">
        <v>5705</v>
      </c>
      <c r="H23" s="16">
        <v>45</v>
      </c>
      <c r="I23" s="17">
        <v>256737</v>
      </c>
      <c r="J23" s="15">
        <v>214</v>
      </c>
      <c r="K23" s="15">
        <v>0</v>
      </c>
      <c r="L23" s="16">
        <v>0</v>
      </c>
      <c r="M23" s="17">
        <v>0</v>
      </c>
      <c r="N23" s="15">
        <v>0</v>
      </c>
      <c r="O23" s="17">
        <v>2403204</v>
      </c>
    </row>
    <row r="24" spans="2:15">
      <c r="B24" s="18">
        <v>20</v>
      </c>
      <c r="C24" s="19">
        <v>97425</v>
      </c>
      <c r="D24" s="20">
        <v>22.24</v>
      </c>
      <c r="E24" s="20">
        <v>2166515</v>
      </c>
      <c r="F24" s="19">
        <v>2978</v>
      </c>
      <c r="G24" s="19">
        <v>7146</v>
      </c>
      <c r="H24" s="20">
        <v>45</v>
      </c>
      <c r="I24" s="20">
        <v>321576</v>
      </c>
      <c r="J24" s="19">
        <v>289</v>
      </c>
      <c r="K24" s="19">
        <v>0</v>
      </c>
      <c r="L24" s="20">
        <v>0</v>
      </c>
      <c r="M24" s="20">
        <v>0</v>
      </c>
      <c r="N24" s="19">
        <v>0</v>
      </c>
      <c r="O24" s="20">
        <v>2488091</v>
      </c>
    </row>
    <row r="25" spans="2:15">
      <c r="B25">
        <v>21</v>
      </c>
      <c r="C25" s="15">
        <v>98142</v>
      </c>
      <c r="D25" s="16">
        <v>22.22</v>
      </c>
      <c r="E25" s="17">
        <v>2180617</v>
      </c>
      <c r="F25" s="15">
        <v>2985</v>
      </c>
      <c r="G25" s="15">
        <v>8901</v>
      </c>
      <c r="H25" s="16">
        <v>45</v>
      </c>
      <c r="I25" s="17">
        <v>400526</v>
      </c>
      <c r="J25" s="15">
        <v>386</v>
      </c>
      <c r="K25" s="15">
        <v>0</v>
      </c>
      <c r="L25" s="16">
        <v>0</v>
      </c>
      <c r="M25" s="17">
        <v>0</v>
      </c>
      <c r="N25" s="15">
        <v>0</v>
      </c>
      <c r="O25" s="17">
        <v>2581143</v>
      </c>
    </row>
    <row r="26" spans="2:15">
      <c r="B26" s="18">
        <v>22</v>
      </c>
      <c r="C26" s="19">
        <v>98661</v>
      </c>
      <c r="D26" s="20">
        <v>22.2</v>
      </c>
      <c r="E26" s="20">
        <v>2190330</v>
      </c>
      <c r="F26" s="19">
        <v>2990</v>
      </c>
      <c r="G26" s="19">
        <v>11010</v>
      </c>
      <c r="H26" s="20">
        <v>45</v>
      </c>
      <c r="I26" s="20">
        <v>495463</v>
      </c>
      <c r="J26" s="19">
        <v>508</v>
      </c>
      <c r="K26" s="19">
        <v>0</v>
      </c>
      <c r="L26" s="20">
        <v>0</v>
      </c>
      <c r="M26" s="20">
        <v>0</v>
      </c>
      <c r="N26" s="19">
        <v>0</v>
      </c>
      <c r="O26" s="20">
        <v>2685793</v>
      </c>
    </row>
    <row r="27" spans="2:15">
      <c r="B27">
        <v>23</v>
      </c>
      <c r="C27" s="15">
        <v>99037</v>
      </c>
      <c r="D27" s="16">
        <v>22.18</v>
      </c>
      <c r="E27" s="17">
        <v>2196833</v>
      </c>
      <c r="F27" s="15">
        <v>2993</v>
      </c>
      <c r="G27" s="15">
        <v>13509</v>
      </c>
      <c r="H27" s="16">
        <v>45</v>
      </c>
      <c r="I27" s="17">
        <v>607910</v>
      </c>
      <c r="J27" s="15">
        <v>656</v>
      </c>
      <c r="K27" s="15">
        <v>0</v>
      </c>
      <c r="L27" s="16">
        <v>0</v>
      </c>
      <c r="M27" s="17">
        <v>0</v>
      </c>
      <c r="N27" s="15">
        <v>0</v>
      </c>
      <c r="O27" s="17">
        <v>2804743</v>
      </c>
    </row>
    <row r="28" spans="2:15">
      <c r="B28" s="18">
        <v>24</v>
      </c>
      <c r="C28" s="19">
        <v>99308</v>
      </c>
      <c r="D28" s="20">
        <v>22.16</v>
      </c>
      <c r="E28" s="20">
        <v>2201002</v>
      </c>
      <c r="F28" s="19">
        <v>2995</v>
      </c>
      <c r="G28" s="19">
        <v>16416</v>
      </c>
      <c r="H28" s="20">
        <v>45</v>
      </c>
      <c r="I28" s="20">
        <v>738730</v>
      </c>
      <c r="J28" s="19">
        <v>830</v>
      </c>
      <c r="K28" s="19">
        <v>0</v>
      </c>
      <c r="L28" s="20">
        <v>0</v>
      </c>
      <c r="M28" s="20">
        <v>0</v>
      </c>
      <c r="N28" s="19">
        <v>0</v>
      </c>
      <c r="O28" s="20">
        <v>2939732</v>
      </c>
    </row>
    <row r="29" spans="2:15">
      <c r="B29">
        <v>25</v>
      </c>
      <c r="C29" s="15">
        <v>99503</v>
      </c>
      <c r="D29" s="16">
        <v>22.14</v>
      </c>
      <c r="E29" s="17">
        <v>2203480</v>
      </c>
      <c r="F29" s="15">
        <v>2997</v>
      </c>
      <c r="G29" s="15">
        <v>19728</v>
      </c>
      <c r="H29" s="16">
        <v>33.66</v>
      </c>
      <c r="I29" s="17">
        <v>664143</v>
      </c>
      <c r="J29" s="15">
        <v>1023</v>
      </c>
      <c r="K29" s="15">
        <v>0</v>
      </c>
      <c r="L29" s="16">
        <v>0</v>
      </c>
      <c r="M29" s="17">
        <v>0</v>
      </c>
      <c r="N29" s="15">
        <v>0</v>
      </c>
      <c r="O29" s="17">
        <v>2867623</v>
      </c>
    </row>
    <row r="30" spans="2:15">
      <c r="B30" s="18">
        <v>26</v>
      </c>
      <c r="C30" s="19">
        <v>99644</v>
      </c>
      <c r="D30" s="20">
        <v>22.13</v>
      </c>
      <c r="E30" s="20">
        <v>2204740</v>
      </c>
      <c r="F30" s="19">
        <v>2998</v>
      </c>
      <c r="G30" s="19">
        <v>23413</v>
      </c>
      <c r="H30" s="20">
        <v>33.58</v>
      </c>
      <c r="I30" s="20">
        <v>786176</v>
      </c>
      <c r="J30" s="19">
        <v>1229</v>
      </c>
      <c r="K30" s="19">
        <v>0</v>
      </c>
      <c r="L30" s="20">
        <v>0</v>
      </c>
      <c r="M30" s="20">
        <v>0</v>
      </c>
      <c r="N30" s="19">
        <v>0</v>
      </c>
      <c r="O30" s="20">
        <v>2990916</v>
      </c>
    </row>
    <row r="31" spans="2:15">
      <c r="B31">
        <v>27</v>
      </c>
      <c r="C31" s="15">
        <v>99744</v>
      </c>
      <c r="D31" s="16">
        <v>22.11</v>
      </c>
      <c r="E31" s="17">
        <v>2205122</v>
      </c>
      <c r="F31" s="15">
        <v>2999</v>
      </c>
      <c r="G31" s="15">
        <v>27403</v>
      </c>
      <c r="H31" s="16">
        <v>33.49</v>
      </c>
      <c r="I31" s="17">
        <v>917842</v>
      </c>
      <c r="J31" s="15">
        <v>1436</v>
      </c>
      <c r="K31" s="15">
        <v>0</v>
      </c>
      <c r="L31" s="16">
        <v>0</v>
      </c>
      <c r="M31" s="17">
        <v>0</v>
      </c>
      <c r="N31" s="15">
        <v>0</v>
      </c>
      <c r="O31" s="17">
        <v>3122964</v>
      </c>
    </row>
    <row r="32" spans="2:15">
      <c r="B32" s="18">
        <v>28</v>
      </c>
      <c r="C32" s="19">
        <v>99817</v>
      </c>
      <c r="D32" s="20">
        <v>22.09</v>
      </c>
      <c r="E32" s="20">
        <v>2204873</v>
      </c>
      <c r="F32" s="19">
        <v>2999</v>
      </c>
      <c r="G32" s="19">
        <v>31602</v>
      </c>
      <c r="H32" s="20">
        <v>33.41</v>
      </c>
      <c r="I32" s="20">
        <v>1055782</v>
      </c>
      <c r="J32" s="19">
        <v>1633</v>
      </c>
      <c r="K32" s="19">
        <v>0</v>
      </c>
      <c r="L32" s="20">
        <v>0</v>
      </c>
      <c r="M32" s="20">
        <v>0</v>
      </c>
      <c r="N32" s="19">
        <v>0</v>
      </c>
      <c r="O32" s="20">
        <v>3260655</v>
      </c>
    </row>
    <row r="33" spans="2:15">
      <c r="B33">
        <v>29</v>
      </c>
      <c r="C33" s="15">
        <v>99869</v>
      </c>
      <c r="D33" s="16">
        <v>22.07</v>
      </c>
      <c r="E33" s="17">
        <v>2204173</v>
      </c>
      <c r="F33" s="15">
        <v>2999</v>
      </c>
      <c r="G33" s="15">
        <v>35885</v>
      </c>
      <c r="H33" s="16">
        <v>33.32</v>
      </c>
      <c r="I33" s="17">
        <v>1195847</v>
      </c>
      <c r="J33" s="15">
        <v>1811</v>
      </c>
      <c r="K33" s="15">
        <v>0</v>
      </c>
      <c r="L33" s="16">
        <v>0</v>
      </c>
      <c r="M33" s="17">
        <v>0</v>
      </c>
      <c r="N33" s="15">
        <v>0</v>
      </c>
      <c r="O33" s="17">
        <v>3400020</v>
      </c>
    </row>
    <row r="34" spans="2:15">
      <c r="B34" s="18">
        <v>30</v>
      </c>
      <c r="C34" s="19">
        <v>99906</v>
      </c>
      <c r="D34" s="20">
        <v>22.05</v>
      </c>
      <c r="E34" s="20">
        <v>2203148</v>
      </c>
      <c r="F34" s="19">
        <v>3000</v>
      </c>
      <c r="G34" s="19">
        <v>40119</v>
      </c>
      <c r="H34" s="20">
        <v>33.24</v>
      </c>
      <c r="I34" s="20">
        <v>1333554</v>
      </c>
      <c r="J34" s="19">
        <v>1965</v>
      </c>
      <c r="K34" s="19">
        <v>0</v>
      </c>
      <c r="L34" s="20">
        <v>0</v>
      </c>
      <c r="M34" s="20">
        <v>0</v>
      </c>
      <c r="N34" s="19">
        <v>0</v>
      </c>
      <c r="O34" s="20">
        <v>3536701</v>
      </c>
    </row>
    <row r="35" spans="2:15">
      <c r="B35">
        <v>31</v>
      </c>
      <c r="C35" s="15">
        <v>99932</v>
      </c>
      <c r="D35" s="16">
        <v>22.03</v>
      </c>
      <c r="E35" s="17">
        <v>2201891</v>
      </c>
      <c r="F35" s="15">
        <v>3000</v>
      </c>
      <c r="G35" s="15">
        <v>44174</v>
      </c>
      <c r="H35" s="16">
        <v>33.16</v>
      </c>
      <c r="I35" s="17">
        <v>1464613</v>
      </c>
      <c r="J35" s="15">
        <v>2092</v>
      </c>
      <c r="K35" s="15">
        <v>0</v>
      </c>
      <c r="L35" s="16">
        <v>0</v>
      </c>
      <c r="M35" s="17">
        <v>0</v>
      </c>
      <c r="N35" s="15">
        <v>0</v>
      </c>
      <c r="O35" s="17">
        <v>3666504</v>
      </c>
    </row>
    <row r="36" spans="2:15">
      <c r="B36" s="18">
        <v>32</v>
      </c>
      <c r="C36" s="19">
        <v>99952</v>
      </c>
      <c r="D36" s="20">
        <v>22.02</v>
      </c>
      <c r="E36" s="20">
        <v>2200469</v>
      </c>
      <c r="F36" s="19">
        <v>3000</v>
      </c>
      <c r="G36" s="19">
        <v>47939</v>
      </c>
      <c r="H36" s="20">
        <v>33.07</v>
      </c>
      <c r="I36" s="20">
        <v>1585433</v>
      </c>
      <c r="J36" s="19">
        <v>2193</v>
      </c>
      <c r="K36" s="19">
        <v>0</v>
      </c>
      <c r="L36" s="20">
        <v>0</v>
      </c>
      <c r="M36" s="20">
        <v>0</v>
      </c>
      <c r="N36" s="19">
        <v>0</v>
      </c>
      <c r="O36" s="20">
        <v>3785902</v>
      </c>
    </row>
    <row r="37" spans="2:15">
      <c r="B37">
        <v>33</v>
      </c>
      <c r="C37" s="15">
        <v>99965</v>
      </c>
      <c r="D37" s="16">
        <v>22</v>
      </c>
      <c r="E37" s="17">
        <v>2198928</v>
      </c>
      <c r="F37" s="15">
        <v>3000</v>
      </c>
      <c r="G37" s="15">
        <v>51336</v>
      </c>
      <c r="H37" s="16">
        <v>32.99</v>
      </c>
      <c r="I37" s="17">
        <v>1693449</v>
      </c>
      <c r="J37" s="15">
        <v>2272</v>
      </c>
      <c r="K37" s="15">
        <v>0</v>
      </c>
      <c r="L37" s="16">
        <v>0</v>
      </c>
      <c r="M37" s="17">
        <v>0</v>
      </c>
      <c r="N37" s="15">
        <v>0</v>
      </c>
      <c r="O37" s="17">
        <v>3892377</v>
      </c>
    </row>
    <row r="38" spans="2:15">
      <c r="B38" s="18">
        <v>34</v>
      </c>
      <c r="C38" s="19">
        <v>99975</v>
      </c>
      <c r="D38" s="20">
        <v>21.98</v>
      </c>
      <c r="E38" s="20">
        <v>2197304</v>
      </c>
      <c r="F38" s="19">
        <v>3000</v>
      </c>
      <c r="G38" s="19">
        <v>54317</v>
      </c>
      <c r="H38" s="20">
        <v>32.9</v>
      </c>
      <c r="I38" s="20">
        <v>1787250</v>
      </c>
      <c r="J38" s="19">
        <v>2332</v>
      </c>
      <c r="K38" s="19">
        <v>0</v>
      </c>
      <c r="L38" s="20">
        <v>0</v>
      </c>
      <c r="M38" s="20">
        <v>0</v>
      </c>
      <c r="N38" s="19">
        <v>0</v>
      </c>
      <c r="O38" s="20">
        <v>3984554</v>
      </c>
    </row>
    <row r="39" spans="2:15">
      <c r="B39">
        <v>35</v>
      </c>
      <c r="C39" s="15">
        <v>99982</v>
      </c>
      <c r="D39" s="16">
        <v>21.96</v>
      </c>
      <c r="E39" s="17">
        <v>2195619</v>
      </c>
      <c r="F39" s="15">
        <v>3000</v>
      </c>
      <c r="G39" s="15">
        <v>56870</v>
      </c>
      <c r="H39" s="16">
        <v>32.82</v>
      </c>
      <c r="I39" s="17">
        <v>1866499</v>
      </c>
      <c r="J39" s="15">
        <v>2378</v>
      </c>
      <c r="K39" s="15">
        <v>0</v>
      </c>
      <c r="L39" s="16">
        <v>0</v>
      </c>
      <c r="M39" s="17">
        <v>0</v>
      </c>
      <c r="N39" s="15">
        <v>0</v>
      </c>
      <c r="O39" s="17">
        <v>4062117</v>
      </c>
    </row>
    <row r="40" spans="2:15">
      <c r="B40" s="18">
        <v>36</v>
      </c>
      <c r="C40" s="19">
        <v>99987</v>
      </c>
      <c r="D40" s="20">
        <v>21.94</v>
      </c>
      <c r="E40" s="20">
        <v>2193891</v>
      </c>
      <c r="F40" s="19">
        <v>3000</v>
      </c>
      <c r="G40" s="19">
        <v>59006</v>
      </c>
      <c r="H40" s="20">
        <v>32.74</v>
      </c>
      <c r="I40" s="20">
        <v>1931719</v>
      </c>
      <c r="J40" s="19">
        <v>2411</v>
      </c>
      <c r="K40" s="19">
        <v>0</v>
      </c>
      <c r="L40" s="20">
        <v>0</v>
      </c>
      <c r="M40" s="20">
        <v>0</v>
      </c>
      <c r="N40" s="19">
        <v>0</v>
      </c>
      <c r="O40" s="20">
        <v>4125611</v>
      </c>
    </row>
    <row r="41" spans="2:15">
      <c r="B41">
        <v>37</v>
      </c>
      <c r="C41" s="15">
        <v>99991</v>
      </c>
      <c r="D41" s="16">
        <v>21.92</v>
      </c>
      <c r="E41" s="17">
        <v>2192134</v>
      </c>
      <c r="F41" s="15">
        <v>3000</v>
      </c>
      <c r="G41" s="15">
        <v>60758</v>
      </c>
      <c r="H41" s="16">
        <v>32.65</v>
      </c>
      <c r="I41" s="17">
        <v>1984032</v>
      </c>
      <c r="J41" s="15">
        <v>2436</v>
      </c>
      <c r="K41" s="15">
        <v>0</v>
      </c>
      <c r="L41" s="16">
        <v>0</v>
      </c>
      <c r="M41" s="17">
        <v>0</v>
      </c>
      <c r="N41" s="15">
        <v>0</v>
      </c>
      <c r="O41" s="17">
        <v>4176166</v>
      </c>
    </row>
    <row r="42" spans="2:15">
      <c r="B42" s="18">
        <v>38</v>
      </c>
      <c r="C42" s="19">
        <v>99993</v>
      </c>
      <c r="D42" s="20">
        <v>21.9</v>
      </c>
      <c r="E42" s="20">
        <v>2190355</v>
      </c>
      <c r="F42" s="19">
        <v>3000</v>
      </c>
      <c r="G42" s="19">
        <v>62167</v>
      </c>
      <c r="H42" s="20">
        <v>32.57</v>
      </c>
      <c r="I42" s="20">
        <v>2024893</v>
      </c>
      <c r="J42" s="19">
        <v>2454</v>
      </c>
      <c r="K42" s="19">
        <v>0</v>
      </c>
      <c r="L42" s="20">
        <v>0</v>
      </c>
      <c r="M42" s="20">
        <v>0</v>
      </c>
      <c r="N42" s="19">
        <v>0</v>
      </c>
      <c r="O42" s="20">
        <v>4215248</v>
      </c>
    </row>
    <row r="43" spans="2:15">
      <c r="B43">
        <v>39</v>
      </c>
      <c r="C43" s="15">
        <v>99995</v>
      </c>
      <c r="D43" s="16">
        <v>21.89</v>
      </c>
      <c r="E43" s="17">
        <v>2188562</v>
      </c>
      <c r="F43" s="15">
        <v>3000</v>
      </c>
      <c r="G43" s="15">
        <v>63279</v>
      </c>
      <c r="H43" s="16">
        <v>32.49</v>
      </c>
      <c r="I43" s="17">
        <v>2055883</v>
      </c>
      <c r="J43" s="15">
        <v>2467</v>
      </c>
      <c r="K43" s="15">
        <v>0</v>
      </c>
      <c r="L43" s="16">
        <v>0</v>
      </c>
      <c r="M43" s="17">
        <v>0</v>
      </c>
      <c r="N43" s="15">
        <v>0</v>
      </c>
      <c r="O43" s="17">
        <v>4244446</v>
      </c>
    </row>
    <row r="44" spans="2:15">
      <c r="B44" s="18">
        <v>40</v>
      </c>
      <c r="C44" s="19">
        <v>99997</v>
      </c>
      <c r="D44" s="20">
        <v>21.87</v>
      </c>
      <c r="E44" s="20">
        <v>2186759</v>
      </c>
      <c r="F44" s="19">
        <v>3000</v>
      </c>
      <c r="G44" s="19">
        <v>64140</v>
      </c>
      <c r="H44" s="20">
        <v>32.41</v>
      </c>
      <c r="I44" s="20">
        <v>2078561</v>
      </c>
      <c r="J44" s="19">
        <v>2476</v>
      </c>
      <c r="K44" s="19">
        <v>0</v>
      </c>
      <c r="L44" s="20">
        <v>0</v>
      </c>
      <c r="M44" s="20">
        <v>0</v>
      </c>
      <c r="N44" s="19">
        <v>0</v>
      </c>
      <c r="O44" s="20">
        <v>4265320</v>
      </c>
    </row>
    <row r="45" spans="2:15">
      <c r="B45">
        <v>41</v>
      </c>
      <c r="C45" s="15">
        <v>99998</v>
      </c>
      <c r="D45" s="16">
        <v>21.85</v>
      </c>
      <c r="E45" s="17">
        <v>2184949</v>
      </c>
      <c r="F45" s="15">
        <v>3000</v>
      </c>
      <c r="G45" s="15">
        <v>64792</v>
      </c>
      <c r="H45" s="16">
        <v>32.32</v>
      </c>
      <c r="I45" s="17">
        <v>2094363</v>
      </c>
      <c r="J45" s="15">
        <v>2483</v>
      </c>
      <c r="K45" s="15">
        <v>0</v>
      </c>
      <c r="L45" s="16">
        <v>0</v>
      </c>
      <c r="M45" s="17">
        <v>0</v>
      </c>
      <c r="N45" s="15">
        <v>0</v>
      </c>
      <c r="O45" s="17">
        <v>4279313</v>
      </c>
    </row>
    <row r="46" spans="2:15">
      <c r="B46" s="18">
        <v>42</v>
      </c>
      <c r="C46" s="19">
        <v>99998</v>
      </c>
      <c r="D46" s="20">
        <v>21.83</v>
      </c>
      <c r="E46" s="20">
        <v>2183135</v>
      </c>
      <c r="F46" s="19">
        <v>3000</v>
      </c>
      <c r="G46" s="19">
        <v>65273</v>
      </c>
      <c r="H46" s="20">
        <v>32.24</v>
      </c>
      <c r="I46" s="20">
        <v>2104563</v>
      </c>
      <c r="J46" s="19">
        <v>2488</v>
      </c>
      <c r="K46" s="19">
        <v>601</v>
      </c>
      <c r="L46" s="20">
        <v>140</v>
      </c>
      <c r="M46" s="20">
        <v>84171</v>
      </c>
      <c r="N46" s="19">
        <v>220</v>
      </c>
      <c r="O46" s="20">
        <v>4371869</v>
      </c>
    </row>
    <row r="47" spans="2:15">
      <c r="B47">
        <v>43</v>
      </c>
      <c r="C47" s="15">
        <v>99999</v>
      </c>
      <c r="D47" s="16">
        <v>21.81</v>
      </c>
      <c r="E47" s="17">
        <v>2181318</v>
      </c>
      <c r="F47" s="15">
        <v>3000</v>
      </c>
      <c r="G47" s="15">
        <v>65615</v>
      </c>
      <c r="H47" s="16">
        <v>32.16</v>
      </c>
      <c r="I47" s="17">
        <v>2110249</v>
      </c>
      <c r="J47" s="15">
        <v>2491</v>
      </c>
      <c r="K47" s="15">
        <v>722</v>
      </c>
      <c r="L47" s="16">
        <v>140</v>
      </c>
      <c r="M47" s="17">
        <v>101139</v>
      </c>
      <c r="N47" s="15">
        <v>278</v>
      </c>
      <c r="O47" s="17">
        <v>4392706</v>
      </c>
    </row>
    <row r="48" spans="2:15">
      <c r="B48" s="18">
        <v>44</v>
      </c>
      <c r="C48" s="19">
        <v>99999</v>
      </c>
      <c r="D48" s="20">
        <v>21.8</v>
      </c>
      <c r="E48" s="20">
        <v>2179500</v>
      </c>
      <c r="F48" s="19">
        <v>3000</v>
      </c>
      <c r="G48" s="19">
        <v>65847</v>
      </c>
      <c r="H48" s="20">
        <v>32.08</v>
      </c>
      <c r="I48" s="20">
        <v>2112333</v>
      </c>
      <c r="J48" s="19">
        <v>2494</v>
      </c>
      <c r="K48" s="19">
        <v>866</v>
      </c>
      <c r="L48" s="20">
        <v>140</v>
      </c>
      <c r="M48" s="20">
        <v>121187</v>
      </c>
      <c r="N48" s="19">
        <v>349</v>
      </c>
      <c r="O48" s="20">
        <v>4413019</v>
      </c>
    </row>
    <row r="49" spans="2:15">
      <c r="B49">
        <v>45</v>
      </c>
      <c r="C49" s="15">
        <v>99999</v>
      </c>
      <c r="D49" s="16">
        <v>21.78</v>
      </c>
      <c r="E49" s="17">
        <v>2177680</v>
      </c>
      <c r="F49" s="15">
        <v>3000</v>
      </c>
      <c r="G49" s="15">
        <v>65990</v>
      </c>
      <c r="H49" s="16">
        <v>32</v>
      </c>
      <c r="I49" s="17">
        <v>2111565</v>
      </c>
      <c r="J49" s="15">
        <v>2495</v>
      </c>
      <c r="K49" s="15">
        <v>1034</v>
      </c>
      <c r="L49" s="16">
        <v>140</v>
      </c>
      <c r="M49" s="17">
        <v>144726</v>
      </c>
      <c r="N49" s="15">
        <v>436</v>
      </c>
      <c r="O49" s="17">
        <v>4433971</v>
      </c>
    </row>
    <row r="50" spans="2:15">
      <c r="B50" s="18">
        <v>46</v>
      </c>
      <c r="C50" s="19">
        <v>100000</v>
      </c>
      <c r="D50" s="20">
        <v>21.76</v>
      </c>
      <c r="E50" s="20">
        <v>2175861</v>
      </c>
      <c r="F50" s="19">
        <v>3000</v>
      </c>
      <c r="G50" s="19">
        <v>66064</v>
      </c>
      <c r="H50" s="20">
        <v>31.92</v>
      </c>
      <c r="I50" s="20">
        <v>2108552</v>
      </c>
      <c r="J50" s="19">
        <v>2497</v>
      </c>
      <c r="K50" s="19">
        <v>1230</v>
      </c>
      <c r="L50" s="20">
        <v>140</v>
      </c>
      <c r="M50" s="20">
        <v>172165</v>
      </c>
      <c r="N50" s="19">
        <v>541</v>
      </c>
      <c r="O50" s="20">
        <v>4456578</v>
      </c>
    </row>
    <row r="51" spans="2:15">
      <c r="B51">
        <v>47</v>
      </c>
      <c r="C51" s="15">
        <v>100000</v>
      </c>
      <c r="D51" s="16">
        <v>21.74</v>
      </c>
      <c r="E51" s="17">
        <v>2174042</v>
      </c>
      <c r="F51" s="15">
        <v>3000</v>
      </c>
      <c r="G51" s="15">
        <v>66082</v>
      </c>
      <c r="H51" s="16">
        <v>31.84</v>
      </c>
      <c r="I51" s="17">
        <v>2103782</v>
      </c>
      <c r="J51" s="15">
        <v>2498</v>
      </c>
      <c r="K51" s="15">
        <v>1456</v>
      </c>
      <c r="L51" s="16">
        <v>140</v>
      </c>
      <c r="M51" s="17">
        <v>203879</v>
      </c>
      <c r="N51" s="15">
        <v>665</v>
      </c>
      <c r="O51" s="17">
        <v>4481704</v>
      </c>
    </row>
    <row r="52" spans="2:15">
      <c r="B52" s="18">
        <v>48</v>
      </c>
      <c r="C52" s="19">
        <v>100000</v>
      </c>
      <c r="D52" s="20">
        <v>21.72</v>
      </c>
      <c r="E52" s="20">
        <v>2172224</v>
      </c>
      <c r="F52" s="19">
        <v>3000</v>
      </c>
      <c r="G52" s="19">
        <v>66056</v>
      </c>
      <c r="H52" s="20">
        <v>31.76</v>
      </c>
      <c r="I52" s="20">
        <v>2097645</v>
      </c>
      <c r="J52" s="19">
        <v>2498</v>
      </c>
      <c r="K52" s="19">
        <v>1716</v>
      </c>
      <c r="L52" s="20">
        <v>140</v>
      </c>
      <c r="M52" s="20">
        <v>240174</v>
      </c>
      <c r="N52" s="19">
        <v>810</v>
      </c>
      <c r="O52" s="20">
        <v>4510043</v>
      </c>
    </row>
    <row r="53" spans="2:15">
      <c r="B53">
        <v>49</v>
      </c>
      <c r="C53" s="15">
        <v>100000</v>
      </c>
      <c r="D53" s="16">
        <v>21.7</v>
      </c>
      <c r="E53" s="17">
        <v>2170407</v>
      </c>
      <c r="F53" s="15">
        <v>3000</v>
      </c>
      <c r="G53" s="15">
        <v>65997</v>
      </c>
      <c r="H53" s="16">
        <v>31.67</v>
      </c>
      <c r="I53" s="17">
        <v>2090447</v>
      </c>
      <c r="J53" s="15">
        <v>2499</v>
      </c>
      <c r="K53" s="15">
        <v>2009</v>
      </c>
      <c r="L53" s="16">
        <v>118.8</v>
      </c>
      <c r="M53" s="17">
        <v>238656</v>
      </c>
      <c r="N53" s="15">
        <v>976</v>
      </c>
      <c r="O53" s="17">
        <v>4499510</v>
      </c>
    </row>
    <row r="54" spans="2:15">
      <c r="B54" s="18">
        <v>50</v>
      </c>
      <c r="C54" s="19">
        <v>100000</v>
      </c>
      <c r="D54" s="20">
        <v>21.69</v>
      </c>
      <c r="E54" s="20">
        <v>2168591</v>
      </c>
      <c r="F54" s="19">
        <v>3000</v>
      </c>
      <c r="G54" s="19">
        <v>65911</v>
      </c>
      <c r="H54" s="20">
        <v>31.59</v>
      </c>
      <c r="I54" s="20">
        <v>2082430</v>
      </c>
      <c r="J54" s="19">
        <v>2499</v>
      </c>
      <c r="K54" s="19">
        <v>2337</v>
      </c>
      <c r="L54" s="20">
        <v>118.6</v>
      </c>
      <c r="M54" s="20">
        <v>277124</v>
      </c>
      <c r="N54" s="19">
        <v>1161</v>
      </c>
      <c r="O54" s="20">
        <v>4528146</v>
      </c>
    </row>
    <row r="55" spans="2:15">
      <c r="B55">
        <v>51</v>
      </c>
      <c r="C55" s="15">
        <v>100000</v>
      </c>
      <c r="D55" s="16">
        <v>21.67</v>
      </c>
      <c r="E55" s="17">
        <v>2166777</v>
      </c>
      <c r="F55" s="15">
        <v>3000</v>
      </c>
      <c r="G55" s="15">
        <v>65804</v>
      </c>
      <c r="H55" s="16">
        <v>31.51</v>
      </c>
      <c r="I55" s="17">
        <v>2073785</v>
      </c>
      <c r="J55" s="15">
        <v>2499</v>
      </c>
      <c r="K55" s="15">
        <v>2698</v>
      </c>
      <c r="L55" s="16">
        <v>118.4</v>
      </c>
      <c r="M55" s="17">
        <v>319389</v>
      </c>
      <c r="N55" s="15">
        <v>1363</v>
      </c>
      <c r="O55" s="17">
        <v>4559951</v>
      </c>
    </row>
    <row r="56" spans="2:15">
      <c r="B56" s="18">
        <v>52</v>
      </c>
      <c r="C56" s="19">
        <v>100000</v>
      </c>
      <c r="D56" s="20">
        <v>21.65</v>
      </c>
      <c r="E56" s="20">
        <v>2164963</v>
      </c>
      <c r="F56" s="19">
        <v>3000</v>
      </c>
      <c r="G56" s="19">
        <v>65681</v>
      </c>
      <c r="H56" s="20">
        <v>31.43</v>
      </c>
      <c r="I56" s="20">
        <v>2064660</v>
      </c>
      <c r="J56" s="19">
        <v>2500</v>
      </c>
      <c r="K56" s="19">
        <v>3089</v>
      </c>
      <c r="L56" s="20">
        <v>118.2</v>
      </c>
      <c r="M56" s="20">
        <v>365086</v>
      </c>
      <c r="N56" s="19">
        <v>1576</v>
      </c>
      <c r="O56" s="20">
        <v>4594709</v>
      </c>
    </row>
    <row r="57" spans="2:15">
      <c r="B57">
        <v>53</v>
      </c>
      <c r="C57" s="15">
        <v>100000</v>
      </c>
      <c r="D57" s="16">
        <v>21.63</v>
      </c>
      <c r="E57" s="17">
        <v>2163151</v>
      </c>
      <c r="F57" s="15">
        <v>3000</v>
      </c>
      <c r="G57" s="15">
        <v>65545</v>
      </c>
      <c r="H57" s="16">
        <v>31.35</v>
      </c>
      <c r="I57" s="17">
        <v>2055171</v>
      </c>
      <c r="J57" s="15">
        <v>2500</v>
      </c>
      <c r="K57" s="15">
        <v>3505</v>
      </c>
      <c r="L57" s="16">
        <v>118</v>
      </c>
      <c r="M57" s="17">
        <v>413638</v>
      </c>
      <c r="N57" s="15">
        <v>1794</v>
      </c>
      <c r="O57" s="17">
        <v>4631960</v>
      </c>
    </row>
    <row r="58" spans="2:15">
      <c r="B58" s="18">
        <v>54</v>
      </c>
      <c r="C58" s="19">
        <v>100000</v>
      </c>
      <c r="D58" s="20">
        <v>21.61</v>
      </c>
      <c r="E58" s="20">
        <v>2161340</v>
      </c>
      <c r="F58" s="19">
        <v>3000</v>
      </c>
      <c r="G58" s="19">
        <v>65400</v>
      </c>
      <c r="H58" s="20">
        <v>31.28</v>
      </c>
      <c r="I58" s="20">
        <v>2045409</v>
      </c>
      <c r="J58" s="19">
        <v>2500</v>
      </c>
      <c r="K58" s="19">
        <v>3941</v>
      </c>
      <c r="L58" s="20">
        <v>117.8</v>
      </c>
      <c r="M58" s="20">
        <v>464265</v>
      </c>
      <c r="N58" s="19">
        <v>2011</v>
      </c>
      <c r="O58" s="20">
        <v>4671015</v>
      </c>
    </row>
    <row r="59" spans="2:15">
      <c r="B59">
        <v>55</v>
      </c>
      <c r="C59" s="15">
        <v>100000</v>
      </c>
      <c r="D59" s="16">
        <v>21.6</v>
      </c>
      <c r="E59" s="17">
        <v>2159531</v>
      </c>
      <c r="F59" s="15">
        <v>3000</v>
      </c>
      <c r="G59" s="15">
        <v>65247</v>
      </c>
      <c r="H59" s="16">
        <v>31.2</v>
      </c>
      <c r="I59" s="17">
        <v>2035444</v>
      </c>
      <c r="J59" s="15">
        <v>2500</v>
      </c>
      <c r="K59" s="15">
        <v>4388</v>
      </c>
      <c r="L59" s="16">
        <v>117.61</v>
      </c>
      <c r="M59" s="17">
        <v>516022</v>
      </c>
      <c r="N59" s="15">
        <v>2219</v>
      </c>
      <c r="O59" s="17">
        <v>4710998</v>
      </c>
    </row>
    <row r="60" spans="2:15">
      <c r="B60" s="18">
        <v>56</v>
      </c>
      <c r="C60" s="19">
        <v>100000</v>
      </c>
      <c r="D60" s="20">
        <v>21.58</v>
      </c>
      <c r="E60" s="20">
        <v>2157723</v>
      </c>
      <c r="F60" s="19">
        <v>3000</v>
      </c>
      <c r="G60" s="19">
        <v>65088</v>
      </c>
      <c r="H60" s="20">
        <v>31.12</v>
      </c>
      <c r="I60" s="20">
        <v>2025331</v>
      </c>
      <c r="J60" s="19">
        <v>2500</v>
      </c>
      <c r="K60" s="19">
        <v>4837</v>
      </c>
      <c r="L60" s="20">
        <v>117.41</v>
      </c>
      <c r="M60" s="20">
        <v>567862</v>
      </c>
      <c r="N60" s="19">
        <v>2415</v>
      </c>
      <c r="O60" s="20">
        <v>4750917</v>
      </c>
    </row>
    <row r="61" spans="2:15">
      <c r="B61">
        <v>57</v>
      </c>
      <c r="C61" s="15">
        <v>100000</v>
      </c>
      <c r="D61" s="16">
        <v>21.56</v>
      </c>
      <c r="E61" s="17">
        <v>2155917</v>
      </c>
      <c r="F61" s="15">
        <v>3000</v>
      </c>
      <c r="G61" s="15">
        <v>64924</v>
      </c>
      <c r="H61" s="16">
        <v>31.04</v>
      </c>
      <c r="I61" s="17">
        <v>2015112</v>
      </c>
      <c r="J61" s="15">
        <v>2500</v>
      </c>
      <c r="K61" s="15">
        <v>5279</v>
      </c>
      <c r="L61" s="16">
        <v>117.21</v>
      </c>
      <c r="M61" s="17">
        <v>618714</v>
      </c>
      <c r="N61" s="15">
        <v>2593</v>
      </c>
      <c r="O61" s="17">
        <v>4789743</v>
      </c>
    </row>
    <row r="62" spans="2:15">
      <c r="B62" s="18">
        <v>58</v>
      </c>
      <c r="C62" s="19">
        <v>100000</v>
      </c>
      <c r="D62" s="20">
        <v>21.54</v>
      </c>
      <c r="E62" s="20">
        <v>2154112</v>
      </c>
      <c r="F62" s="19">
        <v>3000</v>
      </c>
      <c r="G62" s="19">
        <v>64756</v>
      </c>
      <c r="H62" s="20">
        <v>30.96</v>
      </c>
      <c r="I62" s="20">
        <v>2004820</v>
      </c>
      <c r="J62" s="19">
        <v>2500</v>
      </c>
      <c r="K62" s="19">
        <v>5705</v>
      </c>
      <c r="L62" s="20">
        <v>117.01</v>
      </c>
      <c r="M62" s="20">
        <v>667565</v>
      </c>
      <c r="N62" s="19">
        <v>2750</v>
      </c>
      <c r="O62" s="20">
        <v>4826497</v>
      </c>
    </row>
    <row r="63" spans="2:15">
      <c r="B63">
        <v>59</v>
      </c>
      <c r="C63" s="15">
        <v>100000</v>
      </c>
      <c r="D63" s="16">
        <v>21.52</v>
      </c>
      <c r="E63" s="17">
        <v>2152309</v>
      </c>
      <c r="F63" s="15">
        <v>3000</v>
      </c>
      <c r="G63" s="15">
        <v>64586</v>
      </c>
      <c r="H63" s="16">
        <v>30.88</v>
      </c>
      <c r="I63" s="17">
        <v>1994481</v>
      </c>
      <c r="J63" s="15">
        <v>2500</v>
      </c>
      <c r="K63" s="15">
        <v>6108</v>
      </c>
      <c r="L63" s="16">
        <v>116.82</v>
      </c>
      <c r="M63" s="17">
        <v>713539</v>
      </c>
      <c r="N63" s="15">
        <v>2887</v>
      </c>
      <c r="O63" s="17">
        <v>4860328</v>
      </c>
    </row>
    <row r="64" spans="2:15">
      <c r="B64" s="18">
        <v>60</v>
      </c>
      <c r="C64" s="19">
        <v>100000</v>
      </c>
      <c r="D64" s="20">
        <v>21.51</v>
      </c>
      <c r="E64" s="20">
        <v>2150507</v>
      </c>
      <c r="F64" s="19">
        <v>3000</v>
      </c>
      <c r="G64" s="19">
        <v>64414</v>
      </c>
      <c r="H64" s="20">
        <v>30.8</v>
      </c>
      <c r="I64" s="20">
        <v>1984114</v>
      </c>
      <c r="J64" s="19">
        <v>2500</v>
      </c>
      <c r="K64" s="19">
        <v>6482</v>
      </c>
      <c r="L64" s="20">
        <v>116.62</v>
      </c>
      <c r="M64" s="20">
        <v>755947</v>
      </c>
      <c r="N64" s="19">
        <v>3004</v>
      </c>
      <c r="O64" s="20">
        <v>4890568</v>
      </c>
    </row>
    <row r="65" spans="2:15">
      <c r="B65">
        <v>61</v>
      </c>
      <c r="C65" s="15">
        <v>100000</v>
      </c>
      <c r="D65" s="16">
        <v>21.49</v>
      </c>
      <c r="E65" s="17">
        <v>2148707</v>
      </c>
      <c r="F65" s="15">
        <v>3000</v>
      </c>
      <c r="G65" s="15">
        <v>64240</v>
      </c>
      <c r="H65" s="16">
        <v>30.72</v>
      </c>
      <c r="I65" s="17">
        <v>1973735</v>
      </c>
      <c r="J65" s="15">
        <v>2500</v>
      </c>
      <c r="K65" s="15">
        <v>6823</v>
      </c>
      <c r="L65" s="16">
        <v>116.42</v>
      </c>
      <c r="M65" s="17">
        <v>794319</v>
      </c>
      <c r="N65" s="15">
        <v>3101</v>
      </c>
      <c r="O65" s="17">
        <v>4916760</v>
      </c>
    </row>
    <row r="66" spans="2:15">
      <c r="B66" s="18">
        <v>62</v>
      </c>
      <c r="C66" s="19">
        <v>100000</v>
      </c>
      <c r="D66" s="20">
        <v>21.47</v>
      </c>
      <c r="E66" s="20">
        <v>2146908</v>
      </c>
      <c r="F66" s="19">
        <v>3000</v>
      </c>
      <c r="G66" s="19">
        <v>64064</v>
      </c>
      <c r="H66" s="20">
        <v>30.65</v>
      </c>
      <c r="I66" s="20">
        <v>1963355</v>
      </c>
      <c r="J66" s="19">
        <v>2500</v>
      </c>
      <c r="K66" s="19">
        <v>7127</v>
      </c>
      <c r="L66" s="20">
        <v>116.23</v>
      </c>
      <c r="M66" s="20">
        <v>828403</v>
      </c>
      <c r="N66" s="19">
        <v>3181</v>
      </c>
      <c r="O66" s="20">
        <v>4938666</v>
      </c>
    </row>
    <row r="67" spans="2:15">
      <c r="B67">
        <v>63</v>
      </c>
      <c r="C67" s="15">
        <v>100000</v>
      </c>
      <c r="D67" s="16">
        <v>21.45</v>
      </c>
      <c r="E67" s="17">
        <v>2145111</v>
      </c>
      <c r="F67" s="15">
        <v>3000</v>
      </c>
      <c r="G67" s="15">
        <v>63888</v>
      </c>
      <c r="H67" s="16">
        <v>30.57</v>
      </c>
      <c r="I67" s="17">
        <v>1952984</v>
      </c>
      <c r="J67" s="15">
        <v>2500</v>
      </c>
      <c r="K67" s="15">
        <v>7396</v>
      </c>
      <c r="L67" s="16">
        <v>116.03</v>
      </c>
      <c r="M67" s="17">
        <v>858148</v>
      </c>
      <c r="N67" s="15">
        <v>3247</v>
      </c>
      <c r="O67" s="17">
        <v>4956243</v>
      </c>
    </row>
    <row r="68" spans="2:15">
      <c r="B68" s="18">
        <v>64</v>
      </c>
      <c r="C68" s="19">
        <v>100000</v>
      </c>
      <c r="D68" s="20">
        <v>21.43</v>
      </c>
      <c r="E68" s="20">
        <v>2143315</v>
      </c>
      <c r="F68" s="19">
        <v>3000</v>
      </c>
      <c r="G68" s="19">
        <v>63710</v>
      </c>
      <c r="H68" s="20">
        <v>30.49</v>
      </c>
      <c r="I68" s="20">
        <v>1942629</v>
      </c>
      <c r="J68" s="19">
        <v>2500</v>
      </c>
      <c r="K68" s="19">
        <v>7629</v>
      </c>
      <c r="L68" s="20">
        <v>115.84</v>
      </c>
      <c r="M68" s="20">
        <v>883665</v>
      </c>
      <c r="N68" s="19">
        <v>3299</v>
      </c>
      <c r="O68" s="20">
        <v>4969609</v>
      </c>
    </row>
    <row r="69" spans="2:15">
      <c r="B69">
        <v>65</v>
      </c>
      <c r="C69" s="15">
        <v>100000</v>
      </c>
      <c r="D69" s="16">
        <v>21.42</v>
      </c>
      <c r="E69" s="17">
        <v>2141520</v>
      </c>
      <c r="F69" s="15">
        <v>3000</v>
      </c>
      <c r="G69" s="15">
        <v>63533</v>
      </c>
      <c r="H69" s="16">
        <v>30.41</v>
      </c>
      <c r="I69" s="17">
        <v>1932295</v>
      </c>
      <c r="J69" s="15">
        <v>2500</v>
      </c>
      <c r="K69" s="15">
        <v>7827</v>
      </c>
      <c r="L69" s="16">
        <v>115.64</v>
      </c>
      <c r="M69" s="17">
        <v>905190</v>
      </c>
      <c r="N69" s="15">
        <v>3342</v>
      </c>
      <c r="O69" s="17">
        <v>4979005</v>
      </c>
    </row>
    <row r="70" spans="2:15">
      <c r="B70" s="18">
        <v>66</v>
      </c>
      <c r="C70" s="19">
        <v>100000</v>
      </c>
      <c r="D70" s="20">
        <v>21.4</v>
      </c>
      <c r="E70" s="20">
        <v>2139728</v>
      </c>
      <c r="F70" s="19">
        <v>3000</v>
      </c>
      <c r="G70" s="19">
        <v>63354</v>
      </c>
      <c r="H70" s="20">
        <v>30.34</v>
      </c>
      <c r="I70" s="20">
        <v>1921986</v>
      </c>
      <c r="J70" s="19">
        <v>2500</v>
      </c>
      <c r="K70" s="19">
        <v>7995</v>
      </c>
      <c r="L70" s="20">
        <v>115.45</v>
      </c>
      <c r="M70" s="20">
        <v>923040</v>
      </c>
      <c r="N70" s="19">
        <v>3376</v>
      </c>
      <c r="O70" s="20">
        <v>4984754</v>
      </c>
    </row>
    <row r="71" spans="2:15">
      <c r="B71">
        <v>67</v>
      </c>
      <c r="C71" s="15">
        <v>100000</v>
      </c>
      <c r="D71" s="16">
        <v>21.38</v>
      </c>
      <c r="E71" s="17">
        <v>2137936</v>
      </c>
      <c r="F71" s="15">
        <v>3000</v>
      </c>
      <c r="G71" s="15">
        <v>63176</v>
      </c>
      <c r="H71" s="16">
        <v>30.26</v>
      </c>
      <c r="I71" s="17">
        <v>1911706</v>
      </c>
      <c r="J71" s="15">
        <v>2500</v>
      </c>
      <c r="K71" s="15">
        <v>8135</v>
      </c>
      <c r="L71" s="16">
        <v>115.25</v>
      </c>
      <c r="M71" s="17">
        <v>937578</v>
      </c>
      <c r="N71" s="15">
        <v>3402</v>
      </c>
      <c r="O71" s="17">
        <v>4987221</v>
      </c>
    </row>
    <row r="72" spans="2:15">
      <c r="B72" s="18">
        <v>68</v>
      </c>
      <c r="C72" s="19">
        <v>100000</v>
      </c>
      <c r="D72" s="20">
        <v>21.36</v>
      </c>
      <c r="E72" s="20">
        <v>2136146</v>
      </c>
      <c r="F72" s="19">
        <v>3000</v>
      </c>
      <c r="G72" s="19">
        <v>62997</v>
      </c>
      <c r="H72" s="20">
        <v>30.18</v>
      </c>
      <c r="I72" s="20">
        <v>1901457</v>
      </c>
      <c r="J72" s="19">
        <v>2500</v>
      </c>
      <c r="K72" s="19">
        <v>8249</v>
      </c>
      <c r="L72" s="20">
        <v>115.06</v>
      </c>
      <c r="M72" s="20">
        <v>949183</v>
      </c>
      <c r="N72" s="19">
        <v>3423</v>
      </c>
      <c r="O72" s="20">
        <v>4986787</v>
      </c>
    </row>
    <row r="73" spans="2:15">
      <c r="B73">
        <v>69</v>
      </c>
      <c r="C73" s="15">
        <v>100000</v>
      </c>
      <c r="D73" s="16">
        <v>21.34</v>
      </c>
      <c r="E73" s="17">
        <v>2134358</v>
      </c>
      <c r="F73" s="15">
        <v>3000</v>
      </c>
      <c r="G73" s="15">
        <v>62817</v>
      </c>
      <c r="H73" s="16">
        <v>30.11</v>
      </c>
      <c r="I73" s="17">
        <v>1891241</v>
      </c>
      <c r="J73" s="15">
        <v>2500</v>
      </c>
      <c r="K73" s="15">
        <v>8342</v>
      </c>
      <c r="L73" s="16">
        <v>114.87</v>
      </c>
      <c r="M73" s="17">
        <v>958229</v>
      </c>
      <c r="N73" s="15">
        <v>3440</v>
      </c>
      <c r="O73" s="17">
        <v>4983829</v>
      </c>
    </row>
    <row r="74" spans="2:15">
      <c r="B74" s="18">
        <v>70</v>
      </c>
      <c r="C74" s="19">
        <v>100000</v>
      </c>
      <c r="D74" s="20">
        <v>21.33</v>
      </c>
      <c r="E74" s="20">
        <v>2132571</v>
      </c>
      <c r="F74" s="19">
        <v>3000</v>
      </c>
      <c r="G74" s="19">
        <v>62638</v>
      </c>
      <c r="H74" s="20">
        <v>30.03</v>
      </c>
      <c r="I74" s="20">
        <v>1881060</v>
      </c>
      <c r="J74" s="19">
        <v>2500</v>
      </c>
      <c r="K74" s="19">
        <v>8416</v>
      </c>
      <c r="L74" s="20">
        <v>114.67</v>
      </c>
      <c r="M74" s="20">
        <v>965069</v>
      </c>
      <c r="N74" s="19">
        <v>3453</v>
      </c>
      <c r="O74" s="20">
        <v>4978700</v>
      </c>
    </row>
    <row r="75" spans="2:15">
      <c r="B75">
        <v>71</v>
      </c>
      <c r="C75" s="15">
        <v>100000</v>
      </c>
      <c r="D75" s="16">
        <v>21.31</v>
      </c>
      <c r="E75" s="17">
        <v>2130786</v>
      </c>
      <c r="F75" s="15">
        <v>3000</v>
      </c>
      <c r="G75" s="15">
        <v>62458</v>
      </c>
      <c r="H75" s="16">
        <v>29.95</v>
      </c>
      <c r="I75" s="17">
        <v>1870913</v>
      </c>
      <c r="J75" s="15">
        <v>2500</v>
      </c>
      <c r="K75" s="15">
        <v>8473</v>
      </c>
      <c r="L75" s="16">
        <v>114.48</v>
      </c>
      <c r="M75" s="17">
        <v>970026</v>
      </c>
      <c r="N75" s="15">
        <v>3463</v>
      </c>
      <c r="O75" s="17">
        <v>4971726</v>
      </c>
    </row>
    <row r="76" spans="2:15">
      <c r="B76" s="18">
        <v>72</v>
      </c>
      <c r="C76" s="19">
        <v>100000</v>
      </c>
      <c r="D76" s="20">
        <v>21.29</v>
      </c>
      <c r="E76" s="20">
        <v>2129002</v>
      </c>
      <c r="F76" s="19">
        <v>3000</v>
      </c>
      <c r="G76" s="19">
        <v>62279</v>
      </c>
      <c r="H76" s="20">
        <v>29.88</v>
      </c>
      <c r="I76" s="20">
        <v>1860803</v>
      </c>
      <c r="J76" s="19">
        <v>2500</v>
      </c>
      <c r="K76" s="19">
        <v>8517</v>
      </c>
      <c r="L76" s="20">
        <v>114.29</v>
      </c>
      <c r="M76" s="20">
        <v>973390</v>
      </c>
      <c r="N76" s="19">
        <v>3471</v>
      </c>
      <c r="O76" s="20">
        <v>4963196</v>
      </c>
    </row>
    <row r="77" spans="2:15">
      <c r="B77">
        <v>73</v>
      </c>
      <c r="C77" s="15">
        <v>100000</v>
      </c>
      <c r="D77" s="16">
        <v>21.27</v>
      </c>
      <c r="E77" s="17">
        <v>2127220</v>
      </c>
      <c r="F77" s="15">
        <v>3000</v>
      </c>
      <c r="G77" s="15">
        <v>62099</v>
      </c>
      <c r="H77" s="16">
        <v>29.8</v>
      </c>
      <c r="I77" s="17">
        <v>1850730</v>
      </c>
      <c r="J77" s="15">
        <v>2500</v>
      </c>
      <c r="K77" s="15">
        <v>8549</v>
      </c>
      <c r="L77" s="16">
        <v>114.1</v>
      </c>
      <c r="M77" s="17">
        <v>975416</v>
      </c>
      <c r="N77" s="15">
        <v>3478</v>
      </c>
      <c r="O77" s="17">
        <v>4953366</v>
      </c>
    </row>
    <row r="78" spans="2:15">
      <c r="B78" s="18">
        <v>74</v>
      </c>
      <c r="C78" s="19">
        <v>100000</v>
      </c>
      <c r="D78" s="20">
        <v>21.25</v>
      </c>
      <c r="E78" s="20">
        <v>2125439</v>
      </c>
      <c r="F78" s="19">
        <v>3000</v>
      </c>
      <c r="G78" s="19">
        <v>61919</v>
      </c>
      <c r="H78" s="20">
        <v>29.73</v>
      </c>
      <c r="I78" s="20">
        <v>1840694</v>
      </c>
      <c r="J78" s="19">
        <v>2500</v>
      </c>
      <c r="K78" s="19">
        <v>8572</v>
      </c>
      <c r="L78" s="20">
        <v>113.9</v>
      </c>
      <c r="M78" s="20">
        <v>976324</v>
      </c>
      <c r="N78" s="19">
        <v>3483</v>
      </c>
      <c r="O78" s="20">
        <v>4942457</v>
      </c>
    </row>
    <row r="79" spans="2:15">
      <c r="B79">
        <v>75</v>
      </c>
      <c r="C79" s="15">
        <v>100000</v>
      </c>
      <c r="D79" s="16">
        <v>21.24</v>
      </c>
      <c r="E79" s="17">
        <v>2123660</v>
      </c>
      <c r="F79" s="15">
        <v>3000</v>
      </c>
      <c r="G79" s="15">
        <v>61739</v>
      </c>
      <c r="H79" s="16">
        <v>29.65</v>
      </c>
      <c r="I79" s="17">
        <v>1830695</v>
      </c>
      <c r="J79" s="15">
        <v>2500</v>
      </c>
      <c r="K79" s="15">
        <v>8586</v>
      </c>
      <c r="L79" s="16">
        <v>113.71</v>
      </c>
      <c r="M79" s="17">
        <v>976303</v>
      </c>
      <c r="N79" s="15">
        <v>3486</v>
      </c>
      <c r="O79" s="17">
        <v>4930658</v>
      </c>
    </row>
    <row r="80" spans="2:15">
      <c r="B80" s="18">
        <v>76</v>
      </c>
      <c r="C80" s="19">
        <v>100000</v>
      </c>
      <c r="D80" s="20">
        <v>21.22</v>
      </c>
      <c r="E80" s="20">
        <v>2121882</v>
      </c>
      <c r="F80" s="19">
        <v>3000</v>
      </c>
      <c r="G80" s="19">
        <v>61560</v>
      </c>
      <c r="H80" s="20">
        <v>29.58</v>
      </c>
      <c r="I80" s="20">
        <v>1820735</v>
      </c>
      <c r="J80" s="19">
        <v>2500</v>
      </c>
      <c r="K80" s="19">
        <v>8593</v>
      </c>
      <c r="L80" s="20">
        <v>113.52</v>
      </c>
      <c r="M80" s="20">
        <v>975513</v>
      </c>
      <c r="N80" s="19">
        <v>3489</v>
      </c>
      <c r="O80" s="20">
        <v>4918129</v>
      </c>
    </row>
    <row r="81" spans="2:15">
      <c r="B81">
        <v>77</v>
      </c>
      <c r="C81" s="15">
        <v>100000</v>
      </c>
      <c r="D81" s="16">
        <v>21.2</v>
      </c>
      <c r="E81" s="17">
        <v>2120105</v>
      </c>
      <c r="F81" s="15">
        <v>3000</v>
      </c>
      <c r="G81" s="15">
        <v>61380</v>
      </c>
      <c r="H81" s="16">
        <v>29.5</v>
      </c>
      <c r="I81" s="17">
        <v>1810812</v>
      </c>
      <c r="J81" s="15">
        <v>2500</v>
      </c>
      <c r="K81" s="15">
        <v>8595</v>
      </c>
      <c r="L81" s="16">
        <v>113.33</v>
      </c>
      <c r="M81" s="17">
        <v>974090</v>
      </c>
      <c r="N81" s="15">
        <v>3492</v>
      </c>
      <c r="O81" s="17">
        <v>4905007</v>
      </c>
    </row>
    <row r="82" spans="2:15">
      <c r="B82" s="18">
        <v>78</v>
      </c>
      <c r="C82" s="19">
        <v>100000</v>
      </c>
      <c r="D82" s="20">
        <v>21.18</v>
      </c>
      <c r="E82" s="20">
        <v>2118330</v>
      </c>
      <c r="F82" s="19">
        <v>3000</v>
      </c>
      <c r="G82" s="19">
        <v>61200</v>
      </c>
      <c r="H82" s="20">
        <v>29.43</v>
      </c>
      <c r="I82" s="20">
        <v>1800927</v>
      </c>
      <c r="J82" s="19">
        <v>2500</v>
      </c>
      <c r="K82" s="19">
        <v>8592</v>
      </c>
      <c r="L82" s="20">
        <v>113.14</v>
      </c>
      <c r="M82" s="20">
        <v>972146</v>
      </c>
      <c r="N82" s="19">
        <v>3494</v>
      </c>
      <c r="O82" s="20">
        <v>4891403</v>
      </c>
    </row>
    <row r="83" spans="2:15">
      <c r="B83">
        <v>79</v>
      </c>
      <c r="C83" s="15">
        <v>100000</v>
      </c>
      <c r="D83" s="16">
        <v>21.17</v>
      </c>
      <c r="E83" s="17">
        <v>2116557</v>
      </c>
      <c r="F83" s="15">
        <v>3000</v>
      </c>
      <c r="G83" s="15">
        <v>61020</v>
      </c>
      <c r="H83" s="16">
        <v>29.35</v>
      </c>
      <c r="I83" s="17">
        <v>1791080</v>
      </c>
      <c r="J83" s="15">
        <v>2500</v>
      </c>
      <c r="K83" s="15">
        <v>8586</v>
      </c>
      <c r="L83" s="16">
        <v>112.95</v>
      </c>
      <c r="M83" s="17">
        <v>969776</v>
      </c>
      <c r="N83" s="15">
        <v>3495</v>
      </c>
      <c r="O83" s="17">
        <v>4877413</v>
      </c>
    </row>
    <row r="84" spans="2:15">
      <c r="B84" s="18">
        <v>80</v>
      </c>
      <c r="C84" s="19">
        <v>100000</v>
      </c>
      <c r="D84" s="20">
        <v>21.15</v>
      </c>
      <c r="E84" s="20">
        <v>2114785</v>
      </c>
      <c r="F84" s="19">
        <v>3000</v>
      </c>
      <c r="G84" s="19">
        <v>60840</v>
      </c>
      <c r="H84" s="20">
        <v>29.28</v>
      </c>
      <c r="I84" s="20">
        <v>1781271</v>
      </c>
      <c r="J84" s="19">
        <v>2500</v>
      </c>
      <c r="K84" s="19">
        <v>8576</v>
      </c>
      <c r="L84" s="20">
        <v>112.76</v>
      </c>
      <c r="M84" s="20">
        <v>967058</v>
      </c>
      <c r="N84" s="19">
        <v>3496</v>
      </c>
      <c r="O84" s="20">
        <v>4863113</v>
      </c>
    </row>
    <row r="85" spans="2:15">
      <c r="B85">
        <v>81</v>
      </c>
      <c r="C85" s="15">
        <v>100000</v>
      </c>
      <c r="D85" s="16">
        <v>21.13</v>
      </c>
      <c r="E85" s="17">
        <v>2113015</v>
      </c>
      <c r="F85" s="15">
        <v>3000</v>
      </c>
      <c r="G85" s="15">
        <v>60660</v>
      </c>
      <c r="H85" s="16">
        <v>29.2</v>
      </c>
      <c r="I85" s="17">
        <v>1771499</v>
      </c>
      <c r="J85" s="15">
        <v>2500</v>
      </c>
      <c r="K85" s="15">
        <v>8564</v>
      </c>
      <c r="L85" s="16">
        <v>112.57</v>
      </c>
      <c r="M85" s="17">
        <v>964056</v>
      </c>
      <c r="N85" s="15">
        <v>3497</v>
      </c>
      <c r="O85" s="17">
        <v>4848570</v>
      </c>
    </row>
    <row r="86" spans="2:15">
      <c r="B86" s="18">
        <v>82</v>
      </c>
      <c r="C86" s="19">
        <v>100000</v>
      </c>
      <c r="D86" s="20">
        <v>21.11</v>
      </c>
      <c r="E86" s="20">
        <v>2111246</v>
      </c>
      <c r="F86" s="19">
        <v>3000</v>
      </c>
      <c r="G86" s="19">
        <v>60480</v>
      </c>
      <c r="H86" s="20">
        <v>29.13</v>
      </c>
      <c r="I86" s="20">
        <v>1761766</v>
      </c>
      <c r="J86" s="19">
        <v>2500</v>
      </c>
      <c r="K86" s="19">
        <v>8550</v>
      </c>
      <c r="L86" s="20">
        <v>112.38</v>
      </c>
      <c r="M86" s="20">
        <v>960823</v>
      </c>
      <c r="N86" s="19">
        <v>3498</v>
      </c>
      <c r="O86" s="20">
        <v>4833835</v>
      </c>
    </row>
    <row r="87" spans="2:15">
      <c r="B87">
        <v>83</v>
      </c>
      <c r="C87" s="15">
        <v>100000</v>
      </c>
      <c r="D87" s="16">
        <v>21.09</v>
      </c>
      <c r="E87" s="17">
        <v>2109478</v>
      </c>
      <c r="F87" s="15">
        <v>3000</v>
      </c>
      <c r="G87" s="15">
        <v>60300</v>
      </c>
      <c r="H87" s="16">
        <v>29.06</v>
      </c>
      <c r="I87" s="17">
        <v>1752070</v>
      </c>
      <c r="J87" s="15">
        <v>2500</v>
      </c>
      <c r="K87" s="15">
        <v>8534</v>
      </c>
      <c r="L87" s="16">
        <v>112.19</v>
      </c>
      <c r="M87" s="17">
        <v>957405</v>
      </c>
      <c r="N87" s="15">
        <v>3498</v>
      </c>
      <c r="O87" s="17">
        <v>4818953</v>
      </c>
    </row>
    <row r="88" spans="2:15">
      <c r="B88" s="18">
        <v>84</v>
      </c>
      <c r="C88" s="19">
        <v>100000</v>
      </c>
      <c r="D88" s="20">
        <v>21.08</v>
      </c>
      <c r="E88" s="20">
        <v>2107712</v>
      </c>
      <c r="F88" s="19">
        <v>3000</v>
      </c>
      <c r="G88" s="19">
        <v>60120</v>
      </c>
      <c r="H88" s="20">
        <v>28.98</v>
      </c>
      <c r="I88" s="20">
        <v>1742413</v>
      </c>
      <c r="J88" s="19">
        <v>2500</v>
      </c>
      <c r="K88" s="19">
        <v>8516</v>
      </c>
      <c r="L88" s="20">
        <v>112</v>
      </c>
      <c r="M88" s="20">
        <v>953836</v>
      </c>
      <c r="N88" s="19">
        <v>3499</v>
      </c>
      <c r="O88" s="20">
        <v>4803960</v>
      </c>
    </row>
  </sheetData>
  <mergeCells count="1">
    <mergeCell ref="B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B2:N92"/>
  <sheetViews>
    <sheetView showGridLines="0" workbookViewId="0"/>
  </sheetViews>
  <sheetFormatPr defaultRowHeight="15"/>
  <cols>
    <col min="1" max="1" width="3.7109375" customWidth="1"/>
    <col min="2" max="2" width="10.7109375" customWidth="1"/>
    <col min="3" max="15" width="14.7109375" customWidth="1"/>
  </cols>
  <sheetData>
    <row r="2" spans="2:14">
      <c r="B2" s="1" t="s">
        <v>193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4">
      <c r="B4" s="21" t="s">
        <v>194</v>
      </c>
      <c r="C4" s="21"/>
      <c r="D4" s="21" t="s">
        <v>195</v>
      </c>
      <c r="E4" s="21"/>
      <c r="F4" s="21" t="s">
        <v>196</v>
      </c>
      <c r="G4" s="21"/>
      <c r="H4" s="21" t="s">
        <v>198</v>
      </c>
      <c r="I4" s="21"/>
      <c r="J4" s="21" t="s">
        <v>200</v>
      </c>
      <c r="K4" s="21"/>
    </row>
    <row r="5" spans="2:14">
      <c r="B5" s="22">
        <v>306727645</v>
      </c>
      <c r="C5" s="22"/>
      <c r="D5" s="22">
        <v>190189726</v>
      </c>
      <c r="E5" s="22"/>
      <c r="F5" s="23" t="s">
        <v>197</v>
      </c>
      <c r="G5" s="23"/>
      <c r="H5" s="23" t="s">
        <v>199</v>
      </c>
      <c r="I5" s="23"/>
      <c r="J5" s="22">
        <v>70528772</v>
      </c>
      <c r="K5" s="22"/>
    </row>
    <row r="8" spans="2:14" ht="35" customHeight="1">
      <c r="B8" s="12" t="s">
        <v>179</v>
      </c>
      <c r="C8" s="12" t="s">
        <v>201</v>
      </c>
      <c r="D8" s="12" t="s">
        <v>202</v>
      </c>
      <c r="E8" s="12" t="s">
        <v>203</v>
      </c>
      <c r="F8" s="12" t="s">
        <v>204</v>
      </c>
      <c r="G8" s="12" t="s">
        <v>205</v>
      </c>
      <c r="H8" s="12" t="s">
        <v>206</v>
      </c>
      <c r="I8" s="12" t="s">
        <v>207</v>
      </c>
      <c r="J8" s="12" t="s">
        <v>208</v>
      </c>
      <c r="K8" s="12" t="s">
        <v>209</v>
      </c>
      <c r="L8" s="12" t="s">
        <v>210</v>
      </c>
      <c r="M8" s="12" t="s">
        <v>211</v>
      </c>
      <c r="N8" s="12" t="s">
        <v>212</v>
      </c>
    </row>
    <row r="9" spans="2:14">
      <c r="B9">
        <v>1</v>
      </c>
      <c r="C9" s="15">
        <v>1</v>
      </c>
      <c r="D9" s="17">
        <v>157433</v>
      </c>
      <c r="E9" s="15">
        <v>6297</v>
      </c>
      <c r="F9" s="15">
        <v>17</v>
      </c>
      <c r="G9" s="15">
        <v>6</v>
      </c>
      <c r="H9" s="17">
        <v>715625</v>
      </c>
      <c r="I9" s="17">
        <v>-581807</v>
      </c>
      <c r="J9" s="17">
        <v>157433</v>
      </c>
      <c r="K9" s="17">
        <v>-581807</v>
      </c>
      <c r="L9" s="17">
        <v>715625</v>
      </c>
      <c r="M9" s="24">
        <v>-0.8130048815774776</v>
      </c>
      <c r="N9" s="25">
        <v>0.2744820082118191</v>
      </c>
    </row>
    <row r="10" spans="2:14">
      <c r="B10" s="18">
        <v>2</v>
      </c>
      <c r="C10" s="19">
        <v>1</v>
      </c>
      <c r="D10" s="20">
        <v>214375</v>
      </c>
      <c r="E10" s="19">
        <v>8575</v>
      </c>
      <c r="F10" s="19">
        <v>18</v>
      </c>
      <c r="G10" s="19">
        <v>6</v>
      </c>
      <c r="H10" s="20">
        <v>739583</v>
      </c>
      <c r="I10" s="20">
        <v>-557364</v>
      </c>
      <c r="J10" s="20">
        <v>371809</v>
      </c>
      <c r="K10" s="20">
        <v>-1139171</v>
      </c>
      <c r="L10" s="20">
        <v>1455208</v>
      </c>
      <c r="M10" s="26">
        <v>-0.7828232466342121</v>
      </c>
      <c r="N10" s="27">
        <v>0.2762480337173082</v>
      </c>
    </row>
    <row r="11" spans="2:14">
      <c r="B11">
        <v>3</v>
      </c>
      <c r="C11" s="15">
        <v>1</v>
      </c>
      <c r="D11" s="17">
        <v>289368</v>
      </c>
      <c r="E11" s="15">
        <v>11575</v>
      </c>
      <c r="F11" s="15">
        <v>20</v>
      </c>
      <c r="G11" s="15">
        <v>7</v>
      </c>
      <c r="H11" s="17">
        <v>763542</v>
      </c>
      <c r="I11" s="17">
        <v>-517579</v>
      </c>
      <c r="J11" s="17">
        <v>661177</v>
      </c>
      <c r="K11" s="17">
        <v>-1656750</v>
      </c>
      <c r="L11" s="17">
        <v>2218750</v>
      </c>
      <c r="M11" s="24">
        <v>-0.7467040446586619</v>
      </c>
      <c r="N11" s="25">
        <v>0.2780254218840746</v>
      </c>
    </row>
    <row r="12" spans="2:14">
      <c r="B12" s="18">
        <v>4</v>
      </c>
      <c r="C12" s="19">
        <v>1</v>
      </c>
      <c r="D12" s="20">
        <v>386163</v>
      </c>
      <c r="E12" s="19">
        <v>15447</v>
      </c>
      <c r="F12" s="19">
        <v>22</v>
      </c>
      <c r="G12" s="19">
        <v>7</v>
      </c>
      <c r="H12" s="20">
        <v>787500</v>
      </c>
      <c r="I12" s="20">
        <v>-459261</v>
      </c>
      <c r="J12" s="20">
        <v>1047340</v>
      </c>
      <c r="K12" s="20">
        <v>-2116011</v>
      </c>
      <c r="L12" s="20">
        <v>3006250</v>
      </c>
      <c r="M12" s="26">
        <v>-0.703870573233728</v>
      </c>
      <c r="N12" s="27">
        <v>0.2798142458198231</v>
      </c>
    </row>
    <row r="13" spans="2:14">
      <c r="B13">
        <v>5</v>
      </c>
      <c r="C13" s="15">
        <v>1</v>
      </c>
      <c r="D13" s="17">
        <v>507897</v>
      </c>
      <c r="E13" s="15">
        <v>20316</v>
      </c>
      <c r="F13" s="15">
        <v>23</v>
      </c>
      <c r="G13" s="15">
        <v>8</v>
      </c>
      <c r="H13" s="17">
        <v>811458</v>
      </c>
      <c r="I13" s="17">
        <v>-379745</v>
      </c>
      <c r="J13" s="17">
        <v>1555237</v>
      </c>
      <c r="K13" s="17">
        <v>-2495756</v>
      </c>
      <c r="L13" s="17">
        <v>3817708</v>
      </c>
      <c r="M13" s="24">
        <v>-0.6537315540018436</v>
      </c>
      <c r="N13" s="25">
        <v>0.2816145791026358</v>
      </c>
    </row>
    <row r="14" spans="2:14">
      <c r="B14" s="18">
        <v>6</v>
      </c>
      <c r="C14" s="19">
        <v>1</v>
      </c>
      <c r="D14" s="20">
        <v>656096</v>
      </c>
      <c r="E14" s="19">
        <v>26244</v>
      </c>
      <c r="F14" s="19">
        <v>25</v>
      </c>
      <c r="G14" s="19">
        <v>8</v>
      </c>
      <c r="H14" s="20">
        <v>835417</v>
      </c>
      <c r="I14" s="20">
        <v>-277735</v>
      </c>
      <c r="J14" s="20">
        <v>2211333</v>
      </c>
      <c r="K14" s="20">
        <v>-2773492</v>
      </c>
      <c r="L14" s="20">
        <v>4653125</v>
      </c>
      <c r="M14" s="26">
        <v>-0.5960492420097189</v>
      </c>
      <c r="N14" s="27">
        <v>0.2834264957839981</v>
      </c>
    </row>
    <row r="15" spans="2:14">
      <c r="B15">
        <v>7</v>
      </c>
      <c r="C15" s="15">
        <v>1</v>
      </c>
      <c r="D15" s="17">
        <v>745952</v>
      </c>
      <c r="E15" s="15">
        <v>33181</v>
      </c>
      <c r="F15" s="15">
        <v>27</v>
      </c>
      <c r="G15" s="15">
        <v>9</v>
      </c>
      <c r="H15" s="17">
        <v>859375</v>
      </c>
      <c r="I15" s="17">
        <v>-225315</v>
      </c>
      <c r="J15" s="17">
        <v>2957286</v>
      </c>
      <c r="K15" s="17">
        <v>-2998807</v>
      </c>
      <c r="L15" s="17">
        <v>5512500</v>
      </c>
      <c r="M15" s="24">
        <v>-0.5440012714049755</v>
      </c>
      <c r="N15" s="25">
        <v>0.2852500703918451</v>
      </c>
    </row>
    <row r="16" spans="2:14">
      <c r="B16" s="18">
        <v>8</v>
      </c>
      <c r="C16" s="19">
        <v>1</v>
      </c>
      <c r="D16" s="20">
        <v>919489</v>
      </c>
      <c r="E16" s="19">
        <v>40935</v>
      </c>
      <c r="F16" s="19">
        <v>28</v>
      </c>
      <c r="G16" s="19">
        <v>10</v>
      </c>
      <c r="H16" s="20">
        <v>883333</v>
      </c>
      <c r="I16" s="20">
        <v>-101768</v>
      </c>
      <c r="J16" s="20">
        <v>3876775</v>
      </c>
      <c r="K16" s="20">
        <v>-3100575</v>
      </c>
      <c r="L16" s="20">
        <v>6395833</v>
      </c>
      <c r="M16" s="26">
        <v>-0.4847804304058428</v>
      </c>
      <c r="N16" s="27">
        <v>0.2870853779336268</v>
      </c>
    </row>
    <row r="17" spans="2:14">
      <c r="B17">
        <v>9</v>
      </c>
      <c r="C17" s="15">
        <v>1</v>
      </c>
      <c r="D17" s="17">
        <v>1103476</v>
      </c>
      <c r="E17" s="15">
        <v>49167</v>
      </c>
      <c r="F17" s="15">
        <v>30</v>
      </c>
      <c r="G17" s="15">
        <v>10</v>
      </c>
      <c r="H17" s="17">
        <v>907292</v>
      </c>
      <c r="I17" s="17">
        <v>30662</v>
      </c>
      <c r="J17" s="17">
        <v>4980250</v>
      </c>
      <c r="K17" s="17">
        <v>-3069912</v>
      </c>
      <c r="L17" s="17">
        <v>7303125</v>
      </c>
      <c r="M17" s="24">
        <v>-0.4203559916029607</v>
      </c>
      <c r="N17" s="25">
        <v>0.2889324938993936</v>
      </c>
    </row>
    <row r="18" spans="2:14">
      <c r="B18" s="18">
        <v>10</v>
      </c>
      <c r="C18" s="19">
        <v>1</v>
      </c>
      <c r="D18" s="20">
        <v>1288173</v>
      </c>
      <c r="E18" s="19">
        <v>57444</v>
      </c>
      <c r="F18" s="19">
        <v>32</v>
      </c>
      <c r="G18" s="19">
        <v>11</v>
      </c>
      <c r="H18" s="20">
        <v>931250</v>
      </c>
      <c r="I18" s="20">
        <v>163697</v>
      </c>
      <c r="J18" s="20">
        <v>6268423</v>
      </c>
      <c r="K18" s="20">
        <v>-2906215</v>
      </c>
      <c r="L18" s="20">
        <v>8234375</v>
      </c>
      <c r="M18" s="26">
        <v>-0.3529369726291078</v>
      </c>
      <c r="N18" s="27">
        <v>0.2907914942649006</v>
      </c>
    </row>
    <row r="19" spans="2:14">
      <c r="B19">
        <v>11</v>
      </c>
      <c r="C19" s="15">
        <v>1</v>
      </c>
      <c r="D19" s="17">
        <v>1463659</v>
      </c>
      <c r="E19" s="15">
        <v>65324</v>
      </c>
      <c r="F19" s="15">
        <v>33</v>
      </c>
      <c r="G19" s="15">
        <v>11</v>
      </c>
      <c r="H19" s="17">
        <v>955208</v>
      </c>
      <c r="I19" s="17">
        <v>288902</v>
      </c>
      <c r="J19" s="17">
        <v>7732082</v>
      </c>
      <c r="K19" s="17">
        <v>-2617313</v>
      </c>
      <c r="L19" s="17">
        <v>9189583</v>
      </c>
      <c r="M19" s="24">
        <v>-0.2848130671614881</v>
      </c>
      <c r="N19" s="25">
        <v>0.2926624554947339</v>
      </c>
    </row>
    <row r="20" spans="2:14">
      <c r="B20" s="18">
        <v>12</v>
      </c>
      <c r="C20" s="19">
        <v>1</v>
      </c>
      <c r="D20" s="20">
        <v>1621852</v>
      </c>
      <c r="E20" s="19">
        <v>72445</v>
      </c>
      <c r="F20" s="19">
        <v>35</v>
      </c>
      <c r="G20" s="19">
        <v>12</v>
      </c>
      <c r="H20" s="20">
        <v>979167</v>
      </c>
      <c r="I20" s="20">
        <v>399407</v>
      </c>
      <c r="J20" s="20">
        <v>9353934</v>
      </c>
      <c r="K20" s="20">
        <v>-2217906</v>
      </c>
      <c r="L20" s="20">
        <v>10168750</v>
      </c>
      <c r="M20" s="26">
        <v>-0.2181099849653651</v>
      </c>
      <c r="N20" s="27">
        <v>0.2945454545454546</v>
      </c>
    </row>
    <row r="21" spans="2:14">
      <c r="B21">
        <v>13</v>
      </c>
      <c r="C21" s="15">
        <v>1</v>
      </c>
      <c r="D21" s="17">
        <v>1757793</v>
      </c>
      <c r="E21" s="15">
        <v>78583</v>
      </c>
      <c r="F21" s="15">
        <v>37</v>
      </c>
      <c r="G21" s="15">
        <v>12</v>
      </c>
      <c r="H21" s="17">
        <v>745833</v>
      </c>
      <c r="I21" s="17">
        <v>748291</v>
      </c>
      <c r="J21" s="17">
        <v>11111727</v>
      </c>
      <c r="K21" s="17">
        <v>-1469615</v>
      </c>
      <c r="L21" s="17">
        <v>10914583</v>
      </c>
      <c r="M21" s="24">
        <v>-0.134646905646791</v>
      </c>
      <c r="N21" s="25">
        <v>0.2964405688687646</v>
      </c>
    </row>
    <row r="22" spans="2:14">
      <c r="B22" s="18">
        <v>14</v>
      </c>
      <c r="C22" s="19">
        <v>1</v>
      </c>
      <c r="D22" s="20">
        <v>1869838</v>
      </c>
      <c r="E22" s="19">
        <v>83663</v>
      </c>
      <c r="F22" s="19">
        <v>38</v>
      </c>
      <c r="G22" s="19">
        <v>12</v>
      </c>
      <c r="H22" s="20">
        <v>762500</v>
      </c>
      <c r="I22" s="20">
        <v>826862</v>
      </c>
      <c r="J22" s="20">
        <v>12981565</v>
      </c>
      <c r="K22" s="20">
        <v>-642753</v>
      </c>
      <c r="L22" s="20">
        <v>11677083</v>
      </c>
      <c r="M22" s="26">
        <v>-0.05504396060785822</v>
      </c>
      <c r="N22" s="27">
        <v>0.2983478764146928</v>
      </c>
    </row>
    <row r="23" spans="2:14">
      <c r="B23">
        <v>15</v>
      </c>
      <c r="C23" s="15">
        <v>1</v>
      </c>
      <c r="D23" s="17">
        <v>1958996</v>
      </c>
      <c r="E23" s="15">
        <v>87725</v>
      </c>
      <c r="F23" s="15">
        <v>40</v>
      </c>
      <c r="G23" s="15">
        <v>12</v>
      </c>
      <c r="H23" s="17">
        <v>779167</v>
      </c>
      <c r="I23" s="17">
        <v>885980</v>
      </c>
      <c r="J23" s="17">
        <v>14940561</v>
      </c>
      <c r="K23" s="17">
        <v>243227</v>
      </c>
      <c r="L23" s="17">
        <v>12456250</v>
      </c>
      <c r="M23" s="24">
        <v>0.01952649232300153</v>
      </c>
      <c r="N23" s="25">
        <v>0.3002674556348006</v>
      </c>
    </row>
    <row r="24" spans="2:14">
      <c r="B24" s="18">
        <v>16</v>
      </c>
      <c r="C24" s="19">
        <v>1</v>
      </c>
      <c r="D24" s="20">
        <v>2027918</v>
      </c>
      <c r="E24" s="19">
        <v>90888</v>
      </c>
      <c r="F24" s="19">
        <v>42</v>
      </c>
      <c r="G24" s="19">
        <v>12</v>
      </c>
      <c r="H24" s="20">
        <v>795833</v>
      </c>
      <c r="I24" s="20">
        <v>927897</v>
      </c>
      <c r="J24" s="20">
        <v>16968479</v>
      </c>
      <c r="K24" s="20">
        <v>1171124</v>
      </c>
      <c r="L24" s="20">
        <v>13252083</v>
      </c>
      <c r="M24" s="26">
        <v>0.08837281361931647</v>
      </c>
      <c r="N24" s="27">
        <v>0.302199385485409</v>
      </c>
    </row>
    <row r="25" spans="2:14">
      <c r="B25">
        <v>17</v>
      </c>
      <c r="C25" s="15">
        <v>1</v>
      </c>
      <c r="D25" s="17">
        <v>2079946</v>
      </c>
      <c r="E25" s="15">
        <v>93298</v>
      </c>
      <c r="F25" s="15">
        <v>43</v>
      </c>
      <c r="G25" s="15">
        <v>12</v>
      </c>
      <c r="H25" s="17">
        <v>812500</v>
      </c>
      <c r="I25" s="17">
        <v>955454</v>
      </c>
      <c r="J25" s="17">
        <v>19048425</v>
      </c>
      <c r="K25" s="17">
        <v>2126578</v>
      </c>
      <c r="L25" s="17">
        <v>14064583</v>
      </c>
      <c r="M25" s="24">
        <v>0.1512009231411529</v>
      </c>
      <c r="N25" s="25">
        <v>0.3041437454308467</v>
      </c>
    </row>
    <row r="26" spans="2:14">
      <c r="B26" s="18">
        <v>18</v>
      </c>
      <c r="C26" s="19">
        <v>2</v>
      </c>
      <c r="D26" s="20">
        <v>2322487</v>
      </c>
      <c r="E26" s="19">
        <v>99639</v>
      </c>
      <c r="F26" s="19">
        <v>45</v>
      </c>
      <c r="G26" s="19">
        <v>12</v>
      </c>
      <c r="H26" s="20">
        <v>959167</v>
      </c>
      <c r="I26" s="20">
        <v>1014947</v>
      </c>
      <c r="J26" s="20">
        <v>21370912</v>
      </c>
      <c r="K26" s="20">
        <v>3141525</v>
      </c>
      <c r="L26" s="20">
        <v>15023750</v>
      </c>
      <c r="M26" s="26">
        <v>0.2091039175761205</v>
      </c>
      <c r="N26" s="27">
        <v>0.306100615446718</v>
      </c>
    </row>
    <row r="27" spans="2:14">
      <c r="B27">
        <v>19</v>
      </c>
      <c r="C27" s="15">
        <v>2</v>
      </c>
      <c r="D27" s="17">
        <v>2403204</v>
      </c>
      <c r="E27" s="15">
        <v>102148</v>
      </c>
      <c r="F27" s="15">
        <v>45</v>
      </c>
      <c r="G27" s="15">
        <v>12</v>
      </c>
      <c r="H27" s="17">
        <v>959167</v>
      </c>
      <c r="I27" s="17">
        <v>1083557</v>
      </c>
      <c r="J27" s="17">
        <v>23774116</v>
      </c>
      <c r="K27" s="17">
        <v>4225082</v>
      </c>
      <c r="L27" s="17">
        <v>15982917</v>
      </c>
      <c r="M27" s="24">
        <v>0.2643498370238085</v>
      </c>
      <c r="N27" s="25">
        <v>0.3080700760231928</v>
      </c>
    </row>
    <row r="28" spans="2:14">
      <c r="B28" s="18">
        <v>20</v>
      </c>
      <c r="C28" s="19">
        <v>2</v>
      </c>
      <c r="D28" s="20">
        <v>2488091</v>
      </c>
      <c r="E28" s="19">
        <v>104571</v>
      </c>
      <c r="F28" s="19">
        <v>45</v>
      </c>
      <c r="G28" s="19">
        <v>12</v>
      </c>
      <c r="H28" s="20">
        <v>959167</v>
      </c>
      <c r="I28" s="20">
        <v>1155710</v>
      </c>
      <c r="J28" s="20">
        <v>26262207</v>
      </c>
      <c r="K28" s="20">
        <v>5380792</v>
      </c>
      <c r="L28" s="20">
        <v>16942084</v>
      </c>
      <c r="M28" s="26">
        <v>0.3175991729704237</v>
      </c>
      <c r="N28" s="27">
        <v>0.310052208168317</v>
      </c>
    </row>
    <row r="29" spans="2:14">
      <c r="B29">
        <v>21</v>
      </c>
      <c r="C29" s="15">
        <v>2</v>
      </c>
      <c r="D29" s="17">
        <v>2581143</v>
      </c>
      <c r="E29" s="15">
        <v>107043</v>
      </c>
      <c r="F29" s="15">
        <v>45</v>
      </c>
      <c r="G29" s="15">
        <v>12</v>
      </c>
      <c r="H29" s="17">
        <v>959167</v>
      </c>
      <c r="I29" s="17">
        <v>1234805</v>
      </c>
      <c r="J29" s="17">
        <v>28843350</v>
      </c>
      <c r="K29" s="17">
        <v>6615597</v>
      </c>
      <c r="L29" s="17">
        <v>17901251</v>
      </c>
      <c r="M29" s="24">
        <v>0.3695605798529948</v>
      </c>
      <c r="N29" s="25">
        <v>0.3120470934113451</v>
      </c>
    </row>
    <row r="30" spans="2:14">
      <c r="B30" s="18">
        <v>22</v>
      </c>
      <c r="C30" s="19">
        <v>2</v>
      </c>
      <c r="D30" s="20">
        <v>2685793</v>
      </c>
      <c r="E30" s="19">
        <v>109671</v>
      </c>
      <c r="F30" s="19">
        <v>45</v>
      </c>
      <c r="G30" s="19">
        <v>12</v>
      </c>
      <c r="H30" s="20">
        <v>959167</v>
      </c>
      <c r="I30" s="20">
        <v>1323757</v>
      </c>
      <c r="J30" s="20">
        <v>31529144</v>
      </c>
      <c r="K30" s="20">
        <v>7939354</v>
      </c>
      <c r="L30" s="20">
        <v>18860418</v>
      </c>
      <c r="M30" s="26">
        <v>0.4209532353407705</v>
      </c>
      <c r="N30" s="27">
        <v>0.3140548138060927</v>
      </c>
    </row>
    <row r="31" spans="2:14">
      <c r="B31">
        <v>23</v>
      </c>
      <c r="C31" s="15">
        <v>2</v>
      </c>
      <c r="D31" s="17">
        <v>2804743</v>
      </c>
      <c r="E31" s="15">
        <v>112546</v>
      </c>
      <c r="F31" s="15">
        <v>45</v>
      </c>
      <c r="G31" s="15">
        <v>12</v>
      </c>
      <c r="H31" s="17">
        <v>959167</v>
      </c>
      <c r="I31" s="17">
        <v>1424865</v>
      </c>
      <c r="J31" s="17">
        <v>34333887</v>
      </c>
      <c r="K31" s="17">
        <v>9364219</v>
      </c>
      <c r="L31" s="17">
        <v>19819585</v>
      </c>
      <c r="M31" s="24">
        <v>0.4724729990564993</v>
      </c>
      <c r="N31" s="25">
        <v>0.3160754519343126</v>
      </c>
    </row>
    <row r="32" spans="2:14">
      <c r="B32" s="18">
        <v>24</v>
      </c>
      <c r="C32" s="19">
        <v>2</v>
      </c>
      <c r="D32" s="20">
        <v>2939732</v>
      </c>
      <c r="E32" s="19">
        <v>115724</v>
      </c>
      <c r="F32" s="19">
        <v>45</v>
      </c>
      <c r="G32" s="19">
        <v>12</v>
      </c>
      <c r="H32" s="20">
        <v>959167</v>
      </c>
      <c r="I32" s="20">
        <v>1539605</v>
      </c>
      <c r="J32" s="20">
        <v>37273618</v>
      </c>
      <c r="K32" s="20">
        <v>10903824</v>
      </c>
      <c r="L32" s="20">
        <v>20778752</v>
      </c>
      <c r="M32" s="26">
        <v>0.5247583512171783</v>
      </c>
      <c r="N32" s="27">
        <v>0.3181090909090909</v>
      </c>
    </row>
    <row r="33" spans="2:14">
      <c r="B33">
        <v>25</v>
      </c>
      <c r="C33" s="15">
        <v>2</v>
      </c>
      <c r="D33" s="17">
        <v>2867623</v>
      </c>
      <c r="E33" s="15">
        <v>119231</v>
      </c>
      <c r="F33" s="15">
        <v>45</v>
      </c>
      <c r="G33" s="15">
        <v>12</v>
      </c>
      <c r="H33" s="17">
        <v>829167</v>
      </c>
      <c r="I33" s="17">
        <v>1608312</v>
      </c>
      <c r="J33" s="17">
        <v>40141241</v>
      </c>
      <c r="K33" s="17">
        <v>12512136</v>
      </c>
      <c r="L33" s="17">
        <v>21607919</v>
      </c>
      <c r="M33" s="24">
        <v>0.5790532637705605</v>
      </c>
      <c r="N33" s="25">
        <v>0.3201558143782659</v>
      </c>
    </row>
    <row r="34" spans="2:14">
      <c r="B34" s="18">
        <v>26</v>
      </c>
      <c r="C34" s="19">
        <v>2</v>
      </c>
      <c r="D34" s="20">
        <v>2990916</v>
      </c>
      <c r="E34" s="19">
        <v>123057</v>
      </c>
      <c r="F34" s="19">
        <v>45</v>
      </c>
      <c r="G34" s="19">
        <v>12</v>
      </c>
      <c r="H34" s="20">
        <v>829167</v>
      </c>
      <c r="I34" s="20">
        <v>1713112</v>
      </c>
      <c r="J34" s="20">
        <v>43132157</v>
      </c>
      <c r="K34" s="20">
        <v>14225248</v>
      </c>
      <c r="L34" s="20">
        <v>22437086</v>
      </c>
      <c r="M34" s="26">
        <v>0.6340060224092319</v>
      </c>
      <c r="N34" s="27">
        <v>0.3222157065278684</v>
      </c>
    </row>
    <row r="35" spans="2:14">
      <c r="B35">
        <v>27</v>
      </c>
      <c r="C35" s="15">
        <v>2</v>
      </c>
      <c r="D35" s="17">
        <v>3122964</v>
      </c>
      <c r="E35" s="15">
        <v>127147</v>
      </c>
      <c r="F35" s="15">
        <v>45</v>
      </c>
      <c r="G35" s="15">
        <v>12</v>
      </c>
      <c r="H35" s="17">
        <v>829167</v>
      </c>
      <c r="I35" s="17">
        <v>1825352</v>
      </c>
      <c r="J35" s="17">
        <v>46255121</v>
      </c>
      <c r="K35" s="17">
        <v>16050600</v>
      </c>
      <c r="L35" s="17">
        <v>23266253</v>
      </c>
      <c r="M35" s="24">
        <v>0.68986613772261</v>
      </c>
      <c r="N35" s="25">
        <v>0.3242888520855847</v>
      </c>
    </row>
    <row r="36" spans="2:14">
      <c r="B36" s="18">
        <v>28</v>
      </c>
      <c r="C36" s="19">
        <v>2</v>
      </c>
      <c r="D36" s="20">
        <v>3260655</v>
      </c>
      <c r="E36" s="19">
        <v>131419</v>
      </c>
      <c r="F36" s="19">
        <v>45</v>
      </c>
      <c r="G36" s="19">
        <v>12</v>
      </c>
      <c r="H36" s="20">
        <v>829167</v>
      </c>
      <c r="I36" s="20">
        <v>1942390</v>
      </c>
      <c r="J36" s="20">
        <v>49515776</v>
      </c>
      <c r="K36" s="20">
        <v>17992990</v>
      </c>
      <c r="L36" s="20">
        <v>24095420</v>
      </c>
      <c r="M36" s="26">
        <v>0.7467389978459176</v>
      </c>
      <c r="N36" s="27">
        <v>0.3263753363242418</v>
      </c>
    </row>
    <row r="37" spans="2:14">
      <c r="B37">
        <v>29</v>
      </c>
      <c r="C37" s="15">
        <v>2</v>
      </c>
      <c r="D37" s="17">
        <v>3400020</v>
      </c>
      <c r="E37" s="15">
        <v>135754</v>
      </c>
      <c r="F37" s="15">
        <v>45</v>
      </c>
      <c r="G37" s="15">
        <v>12</v>
      </c>
      <c r="H37" s="17">
        <v>829167</v>
      </c>
      <c r="I37" s="17">
        <v>2060850</v>
      </c>
      <c r="J37" s="17">
        <v>52915796</v>
      </c>
      <c r="K37" s="17">
        <v>20053840</v>
      </c>
      <c r="L37" s="17">
        <v>24924587</v>
      </c>
      <c r="M37" s="24">
        <v>0.8045806229836789</v>
      </c>
      <c r="N37" s="25">
        <v>0.3284752450653144</v>
      </c>
    </row>
    <row r="38" spans="2:14">
      <c r="B38" s="18">
        <v>30</v>
      </c>
      <c r="C38" s="19">
        <v>2</v>
      </c>
      <c r="D38" s="20">
        <v>3536701</v>
      </c>
      <c r="E38" s="19">
        <v>140025</v>
      </c>
      <c r="F38" s="19">
        <v>45</v>
      </c>
      <c r="G38" s="19">
        <v>12</v>
      </c>
      <c r="H38" s="20">
        <v>829167</v>
      </c>
      <c r="I38" s="20">
        <v>2177029</v>
      </c>
      <c r="J38" s="20">
        <v>56452498</v>
      </c>
      <c r="K38" s="20">
        <v>22230869</v>
      </c>
      <c r="L38" s="20">
        <v>25753754</v>
      </c>
      <c r="M38" s="26">
        <v>0.8632088720261798</v>
      </c>
      <c r="N38" s="27">
        <v>0.3305886646824555</v>
      </c>
    </row>
    <row r="39" spans="2:14">
      <c r="B39">
        <v>31</v>
      </c>
      <c r="C39" s="15">
        <v>2</v>
      </c>
      <c r="D39" s="17">
        <v>3666504</v>
      </c>
      <c r="E39" s="15">
        <v>144106</v>
      </c>
      <c r="F39" s="15">
        <v>45</v>
      </c>
      <c r="G39" s="15">
        <v>12</v>
      </c>
      <c r="H39" s="17">
        <v>829167</v>
      </c>
      <c r="I39" s="17">
        <v>2287362</v>
      </c>
      <c r="J39" s="17">
        <v>60119002</v>
      </c>
      <c r="K39" s="17">
        <v>24518231</v>
      </c>
      <c r="L39" s="17">
        <v>26582921</v>
      </c>
      <c r="M39" s="24">
        <v>0.9223301933675412</v>
      </c>
      <c r="N39" s="25">
        <v>0.3327156821050482</v>
      </c>
    </row>
    <row r="40" spans="2:14">
      <c r="B40" s="18">
        <v>32</v>
      </c>
      <c r="C40" s="19">
        <v>2</v>
      </c>
      <c r="D40" s="20">
        <v>3785902</v>
      </c>
      <c r="E40" s="19">
        <v>147891</v>
      </c>
      <c r="F40" s="19">
        <v>45</v>
      </c>
      <c r="G40" s="19">
        <v>12</v>
      </c>
      <c r="H40" s="20">
        <v>829167</v>
      </c>
      <c r="I40" s="20">
        <v>2388849</v>
      </c>
      <c r="J40" s="20">
        <v>63904904</v>
      </c>
      <c r="K40" s="20">
        <v>26907080</v>
      </c>
      <c r="L40" s="20">
        <v>27412088</v>
      </c>
      <c r="M40" s="26">
        <v>0.9815771810430802</v>
      </c>
      <c r="N40" s="27">
        <v>0.3348563848217824</v>
      </c>
    </row>
    <row r="41" spans="2:14">
      <c r="B41">
        <v>33</v>
      </c>
      <c r="C41" s="15">
        <v>2</v>
      </c>
      <c r="D41" s="17">
        <v>3892377</v>
      </c>
      <c r="E41" s="15">
        <v>151301</v>
      </c>
      <c r="F41" s="15">
        <v>45</v>
      </c>
      <c r="G41" s="15">
        <v>12</v>
      </c>
      <c r="H41" s="17">
        <v>829167</v>
      </c>
      <c r="I41" s="17">
        <v>2479354</v>
      </c>
      <c r="J41" s="17">
        <v>67797281</v>
      </c>
      <c r="K41" s="17">
        <v>29386434</v>
      </c>
      <c r="L41" s="17">
        <v>28241255</v>
      </c>
      <c r="M41" s="24">
        <v>1.040549853531061</v>
      </c>
      <c r="N41" s="25">
        <v>0.3370108608842527</v>
      </c>
    </row>
    <row r="42" spans="2:14">
      <c r="B42" s="18">
        <v>34</v>
      </c>
      <c r="C42" s="19">
        <v>2</v>
      </c>
      <c r="D42" s="20">
        <v>3984554</v>
      </c>
      <c r="E42" s="19">
        <v>154292</v>
      </c>
      <c r="F42" s="19">
        <v>45</v>
      </c>
      <c r="G42" s="19">
        <v>12</v>
      </c>
      <c r="H42" s="20">
        <v>829167</v>
      </c>
      <c r="I42" s="20">
        <v>2557704</v>
      </c>
      <c r="J42" s="20">
        <v>71781834</v>
      </c>
      <c r="K42" s="20">
        <v>31944137</v>
      </c>
      <c r="L42" s="20">
        <v>29070422</v>
      </c>
      <c r="M42" s="26">
        <v>1.098853579822524</v>
      </c>
      <c r="N42" s="27">
        <v>0.3391791989105802</v>
      </c>
    </row>
    <row r="43" spans="2:14">
      <c r="B43">
        <v>35</v>
      </c>
      <c r="C43" s="15">
        <v>2</v>
      </c>
      <c r="D43" s="17">
        <v>4062117</v>
      </c>
      <c r="E43" s="15">
        <v>156852</v>
      </c>
      <c r="F43" s="15">
        <v>45</v>
      </c>
      <c r="G43" s="15">
        <v>12</v>
      </c>
      <c r="H43" s="17">
        <v>829167</v>
      </c>
      <c r="I43" s="17">
        <v>2623633</v>
      </c>
      <c r="J43" s="17">
        <v>75843952</v>
      </c>
      <c r="K43" s="17">
        <v>34567770</v>
      </c>
      <c r="L43" s="17">
        <v>29899589</v>
      </c>
      <c r="M43" s="24">
        <v>1.156128600289801</v>
      </c>
      <c r="N43" s="25">
        <v>0.3413614880890577</v>
      </c>
    </row>
    <row r="44" spans="2:14">
      <c r="B44" s="18">
        <v>36</v>
      </c>
      <c r="C44" s="19">
        <v>2</v>
      </c>
      <c r="D44" s="20">
        <v>4125611</v>
      </c>
      <c r="E44" s="19">
        <v>158993</v>
      </c>
      <c r="F44" s="19">
        <v>45</v>
      </c>
      <c r="G44" s="19">
        <v>12</v>
      </c>
      <c r="H44" s="20">
        <v>829167</v>
      </c>
      <c r="I44" s="20">
        <v>2677602</v>
      </c>
      <c r="J44" s="20">
        <v>79969562</v>
      </c>
      <c r="K44" s="20">
        <v>37245372</v>
      </c>
      <c r="L44" s="20">
        <v>30728756</v>
      </c>
      <c r="M44" s="26">
        <v>1.212068983581141</v>
      </c>
      <c r="N44" s="27">
        <v>0.3435578181818182</v>
      </c>
    </row>
    <row r="45" spans="2:14">
      <c r="B45">
        <v>37</v>
      </c>
      <c r="C45" s="15">
        <v>2</v>
      </c>
      <c r="D45" s="17">
        <v>4176166</v>
      </c>
      <c r="E45" s="15">
        <v>160749</v>
      </c>
      <c r="F45" s="15">
        <v>45</v>
      </c>
      <c r="G45" s="15">
        <v>12</v>
      </c>
      <c r="H45" s="17">
        <v>829167</v>
      </c>
      <c r="I45" s="17">
        <v>2720574</v>
      </c>
      <c r="J45" s="17">
        <v>84145728</v>
      </c>
      <c r="K45" s="17">
        <v>39965946</v>
      </c>
      <c r="L45" s="17">
        <v>31557923</v>
      </c>
      <c r="M45" s="24">
        <v>1.266431445996981</v>
      </c>
      <c r="N45" s="25">
        <v>0.3457682795285272</v>
      </c>
    </row>
    <row r="46" spans="2:14">
      <c r="B46" s="18">
        <v>38</v>
      </c>
      <c r="C46" s="19">
        <v>2</v>
      </c>
      <c r="D46" s="20">
        <v>4215248</v>
      </c>
      <c r="E46" s="19">
        <v>162160</v>
      </c>
      <c r="F46" s="19">
        <v>45</v>
      </c>
      <c r="G46" s="19">
        <v>12</v>
      </c>
      <c r="H46" s="20">
        <v>829167</v>
      </c>
      <c r="I46" s="20">
        <v>2753794</v>
      </c>
      <c r="J46" s="20">
        <v>88360976</v>
      </c>
      <c r="K46" s="20">
        <v>42719740</v>
      </c>
      <c r="L46" s="20">
        <v>32387090</v>
      </c>
      <c r="M46" s="26">
        <v>1.319036073351831</v>
      </c>
      <c r="N46" s="27">
        <v>0.3479929630500977</v>
      </c>
    </row>
    <row r="47" spans="2:14">
      <c r="B47">
        <v>39</v>
      </c>
      <c r="C47" s="15">
        <v>2</v>
      </c>
      <c r="D47" s="17">
        <v>4244446</v>
      </c>
      <c r="E47" s="15">
        <v>163274</v>
      </c>
      <c r="F47" s="15">
        <v>45</v>
      </c>
      <c r="G47" s="15">
        <v>12</v>
      </c>
      <c r="H47" s="17">
        <v>829167</v>
      </c>
      <c r="I47" s="17">
        <v>2778612</v>
      </c>
      <c r="J47" s="17">
        <v>92605422</v>
      </c>
      <c r="K47" s="17">
        <v>45498352</v>
      </c>
      <c r="L47" s="17">
        <v>33216257</v>
      </c>
      <c r="M47" s="24">
        <v>1.369761558784534</v>
      </c>
      <c r="N47" s="25">
        <v>0.3502319602524314</v>
      </c>
    </row>
    <row r="48" spans="2:14">
      <c r="B48" s="18">
        <v>40</v>
      </c>
      <c r="C48" s="19">
        <v>2</v>
      </c>
      <c r="D48" s="20">
        <v>4265320</v>
      </c>
      <c r="E48" s="19">
        <v>164137</v>
      </c>
      <c r="F48" s="19">
        <v>45</v>
      </c>
      <c r="G48" s="19">
        <v>12</v>
      </c>
      <c r="H48" s="20">
        <v>829167</v>
      </c>
      <c r="I48" s="20">
        <v>2796355</v>
      </c>
      <c r="J48" s="20">
        <v>96870742</v>
      </c>
      <c r="K48" s="20">
        <v>48294707</v>
      </c>
      <c r="L48" s="20">
        <v>34045424</v>
      </c>
      <c r="M48" s="26">
        <v>1.418537395662127</v>
      </c>
      <c r="N48" s="27">
        <v>0.3524853632301811</v>
      </c>
    </row>
    <row r="49" spans="2:14">
      <c r="B49">
        <v>41</v>
      </c>
      <c r="C49" s="15">
        <v>2</v>
      </c>
      <c r="D49" s="17">
        <v>4279313</v>
      </c>
      <c r="E49" s="15">
        <v>164790</v>
      </c>
      <c r="F49" s="15">
        <v>45</v>
      </c>
      <c r="G49" s="15">
        <v>12</v>
      </c>
      <c r="H49" s="17">
        <v>829167</v>
      </c>
      <c r="I49" s="17">
        <v>2808249</v>
      </c>
      <c r="J49" s="17">
        <v>101150055</v>
      </c>
      <c r="K49" s="17">
        <v>51102956</v>
      </c>
      <c r="L49" s="17">
        <v>34874591</v>
      </c>
      <c r="M49" s="24">
        <v>1.465334918584106</v>
      </c>
      <c r="N49" s="25">
        <v>0.3547532646705396</v>
      </c>
    </row>
    <row r="50" spans="2:14">
      <c r="B50" s="18">
        <v>42</v>
      </c>
      <c r="C50" s="19">
        <v>3</v>
      </c>
      <c r="D50" s="20">
        <v>4371869</v>
      </c>
      <c r="E50" s="19">
        <v>165872</v>
      </c>
      <c r="F50" s="19">
        <v>45</v>
      </c>
      <c r="G50" s="19">
        <v>12</v>
      </c>
      <c r="H50" s="20">
        <v>829167</v>
      </c>
      <c r="I50" s="20">
        <v>2886921</v>
      </c>
      <c r="J50" s="20">
        <v>105521924</v>
      </c>
      <c r="K50" s="20">
        <v>53989877</v>
      </c>
      <c r="L50" s="20">
        <v>35703758</v>
      </c>
      <c r="M50" s="26">
        <v>1.512162313175942</v>
      </c>
      <c r="N50" s="27">
        <v>0.3570357578570519</v>
      </c>
    </row>
    <row r="51" spans="2:14">
      <c r="B51">
        <v>43</v>
      </c>
      <c r="C51" s="15">
        <v>3</v>
      </c>
      <c r="D51" s="17">
        <v>4392706</v>
      </c>
      <c r="E51" s="15">
        <v>166336</v>
      </c>
      <c r="F51" s="15">
        <v>45</v>
      </c>
      <c r="G51" s="15">
        <v>12</v>
      </c>
      <c r="H51" s="17">
        <v>829167</v>
      </c>
      <c r="I51" s="17">
        <v>2904633</v>
      </c>
      <c r="J51" s="17">
        <v>109914630</v>
      </c>
      <c r="K51" s="17">
        <v>56894510</v>
      </c>
      <c r="L51" s="17">
        <v>36532925</v>
      </c>
      <c r="M51" s="24">
        <v>1.557348894881437</v>
      </c>
      <c r="N51" s="25">
        <v>0.3593329366734521</v>
      </c>
    </row>
    <row r="52" spans="2:14">
      <c r="B52" s="18">
        <v>44</v>
      </c>
      <c r="C52" s="19">
        <v>3</v>
      </c>
      <c r="D52" s="20">
        <v>4413019</v>
      </c>
      <c r="E52" s="19">
        <v>166712</v>
      </c>
      <c r="F52" s="19">
        <v>45</v>
      </c>
      <c r="G52" s="19">
        <v>12</v>
      </c>
      <c r="H52" s="20">
        <v>829167</v>
      </c>
      <c r="I52" s="20">
        <v>2921899</v>
      </c>
      <c r="J52" s="20">
        <v>114327649</v>
      </c>
      <c r="K52" s="20">
        <v>59816410</v>
      </c>
      <c r="L52" s="20">
        <v>37362092</v>
      </c>
      <c r="M52" s="26">
        <v>1.600991978689398</v>
      </c>
      <c r="N52" s="27">
        <v>0.3616448956075251</v>
      </c>
    </row>
    <row r="53" spans="2:14">
      <c r="B53">
        <v>45</v>
      </c>
      <c r="C53" s="15">
        <v>3</v>
      </c>
      <c r="D53" s="17">
        <v>4433971</v>
      </c>
      <c r="E53" s="15">
        <v>167023</v>
      </c>
      <c r="F53" s="15">
        <v>45</v>
      </c>
      <c r="G53" s="15">
        <v>12</v>
      </c>
      <c r="H53" s="17">
        <v>829167</v>
      </c>
      <c r="I53" s="17">
        <v>2939708</v>
      </c>
      <c r="J53" s="17">
        <v>118761620</v>
      </c>
      <c r="K53" s="17">
        <v>62756118</v>
      </c>
      <c r="L53" s="17">
        <v>38191259</v>
      </c>
      <c r="M53" s="24">
        <v>1.643206314454069</v>
      </c>
      <c r="N53" s="25">
        <v>0.3639717297549929</v>
      </c>
    </row>
    <row r="54" spans="2:14">
      <c r="B54" s="18">
        <v>46</v>
      </c>
      <c r="C54" s="19">
        <v>3</v>
      </c>
      <c r="D54" s="20">
        <v>4456578</v>
      </c>
      <c r="E54" s="19">
        <v>167294</v>
      </c>
      <c r="F54" s="19">
        <v>45</v>
      </c>
      <c r="G54" s="19">
        <v>12</v>
      </c>
      <c r="H54" s="20">
        <v>829167</v>
      </c>
      <c r="I54" s="20">
        <v>2958924</v>
      </c>
      <c r="J54" s="20">
        <v>123218198</v>
      </c>
      <c r="K54" s="20">
        <v>65715042</v>
      </c>
      <c r="L54" s="20">
        <v>39020426</v>
      </c>
      <c r="M54" s="26">
        <v>1.684119036286285</v>
      </c>
      <c r="N54" s="27">
        <v>0.3663135348234265</v>
      </c>
    </row>
    <row r="55" spans="2:14">
      <c r="B55">
        <v>47</v>
      </c>
      <c r="C55" s="15">
        <v>3</v>
      </c>
      <c r="D55" s="17">
        <v>4481704</v>
      </c>
      <c r="E55" s="15">
        <v>167538</v>
      </c>
      <c r="F55" s="15">
        <v>45</v>
      </c>
      <c r="G55" s="15">
        <v>12</v>
      </c>
      <c r="H55" s="17">
        <v>829167</v>
      </c>
      <c r="I55" s="17">
        <v>2980281</v>
      </c>
      <c r="J55" s="17">
        <v>127699902</v>
      </c>
      <c r="K55" s="17">
        <v>68695323</v>
      </c>
      <c r="L55" s="17">
        <v>39849593</v>
      </c>
      <c r="M55" s="24">
        <v>1.723865116577105</v>
      </c>
      <c r="N55" s="25">
        <v>0.3686704071361823</v>
      </c>
    </row>
    <row r="56" spans="2:14">
      <c r="B56" s="18">
        <v>48</v>
      </c>
      <c r="C56" s="19">
        <v>3</v>
      </c>
      <c r="D56" s="20">
        <v>4510043</v>
      </c>
      <c r="E56" s="19">
        <v>167772</v>
      </c>
      <c r="F56" s="19">
        <v>45</v>
      </c>
      <c r="G56" s="19">
        <v>12</v>
      </c>
      <c r="H56" s="20">
        <v>829167</v>
      </c>
      <c r="I56" s="20">
        <v>3004370</v>
      </c>
      <c r="J56" s="20">
        <v>132209945</v>
      </c>
      <c r="K56" s="20">
        <v>71699693</v>
      </c>
      <c r="L56" s="20">
        <v>40678760</v>
      </c>
      <c r="M56" s="26">
        <v>1.762583053532882</v>
      </c>
      <c r="N56" s="27">
        <v>0.3710424436363637</v>
      </c>
    </row>
    <row r="57" spans="2:14">
      <c r="B57">
        <v>49</v>
      </c>
      <c r="C57" s="15">
        <v>3</v>
      </c>
      <c r="D57" s="17">
        <v>4499510</v>
      </c>
      <c r="E57" s="15">
        <v>168006</v>
      </c>
      <c r="F57" s="15">
        <v>45</v>
      </c>
      <c r="G57" s="15">
        <v>12</v>
      </c>
      <c r="H57" s="17">
        <v>829167</v>
      </c>
      <c r="I57" s="17">
        <v>2995417</v>
      </c>
      <c r="J57" s="17">
        <v>136709455</v>
      </c>
      <c r="K57" s="17">
        <v>74695110</v>
      </c>
      <c r="L57" s="17">
        <v>41507927</v>
      </c>
      <c r="M57" s="24">
        <v>1.799538430050635</v>
      </c>
      <c r="N57" s="25">
        <v>0.3734297418908093</v>
      </c>
    </row>
    <row r="58" spans="2:14">
      <c r="B58" s="18">
        <v>50</v>
      </c>
      <c r="C58" s="19">
        <v>3</v>
      </c>
      <c r="D58" s="20">
        <v>4528146</v>
      </c>
      <c r="E58" s="19">
        <v>168248</v>
      </c>
      <c r="F58" s="19">
        <v>45</v>
      </c>
      <c r="G58" s="19">
        <v>12</v>
      </c>
      <c r="H58" s="20">
        <v>829167</v>
      </c>
      <c r="I58" s="20">
        <v>3019757</v>
      </c>
      <c r="J58" s="20">
        <v>141237601</v>
      </c>
      <c r="K58" s="20">
        <v>77714867</v>
      </c>
      <c r="L58" s="20">
        <v>42337094</v>
      </c>
      <c r="M58" s="26">
        <v>1.835621184713966</v>
      </c>
      <c r="N58" s="27">
        <v>0.3758324000941056</v>
      </c>
    </row>
    <row r="59" spans="2:14">
      <c r="B59">
        <v>51</v>
      </c>
      <c r="C59" s="15">
        <v>3</v>
      </c>
      <c r="D59" s="17">
        <v>4559951</v>
      </c>
      <c r="E59" s="15">
        <v>168502</v>
      </c>
      <c r="F59" s="15">
        <v>45</v>
      </c>
      <c r="G59" s="15">
        <v>12</v>
      </c>
      <c r="H59" s="17">
        <v>829167</v>
      </c>
      <c r="I59" s="17">
        <v>3046791</v>
      </c>
      <c r="J59" s="17">
        <v>145797551</v>
      </c>
      <c r="K59" s="17">
        <v>80761658</v>
      </c>
      <c r="L59" s="17">
        <v>43166261</v>
      </c>
      <c r="M59" s="24">
        <v>1.870944013205441</v>
      </c>
      <c r="N59" s="25">
        <v>0.378250517072626</v>
      </c>
    </row>
    <row r="60" spans="2:14">
      <c r="B60" s="18">
        <v>52</v>
      </c>
      <c r="C60" s="19">
        <v>3</v>
      </c>
      <c r="D60" s="20">
        <v>4594709</v>
      </c>
      <c r="E60" s="19">
        <v>168770</v>
      </c>
      <c r="F60" s="19">
        <v>45</v>
      </c>
      <c r="G60" s="19">
        <v>12</v>
      </c>
      <c r="H60" s="20">
        <v>829167</v>
      </c>
      <c r="I60" s="20">
        <v>3076336</v>
      </c>
      <c r="J60" s="20">
        <v>150392261</v>
      </c>
      <c r="K60" s="20">
        <v>83837993</v>
      </c>
      <c r="L60" s="20">
        <v>43995428</v>
      </c>
      <c r="M60" s="26">
        <v>1.905606952140545</v>
      </c>
      <c r="N60" s="27">
        <v>0.3806841922885956</v>
      </c>
    </row>
    <row r="61" spans="2:14">
      <c r="B61">
        <v>53</v>
      </c>
      <c r="C61" s="15">
        <v>3</v>
      </c>
      <c r="D61" s="17">
        <v>4631960</v>
      </c>
      <c r="E61" s="15">
        <v>169050</v>
      </c>
      <c r="F61" s="15">
        <v>45</v>
      </c>
      <c r="G61" s="15">
        <v>12</v>
      </c>
      <c r="H61" s="17">
        <v>829167</v>
      </c>
      <c r="I61" s="17">
        <v>3107999</v>
      </c>
      <c r="J61" s="17">
        <v>155024221</v>
      </c>
      <c r="K61" s="17">
        <v>86945993</v>
      </c>
      <c r="L61" s="17">
        <v>44824595</v>
      </c>
      <c r="M61" s="24">
        <v>1.939693885592912</v>
      </c>
      <c r="N61" s="25">
        <v>0.3831335258441829</v>
      </c>
    </row>
    <row r="62" spans="2:14">
      <c r="B62" s="18">
        <v>54</v>
      </c>
      <c r="C62" s="19">
        <v>3</v>
      </c>
      <c r="D62" s="20">
        <v>4671015</v>
      </c>
      <c r="E62" s="19">
        <v>169341</v>
      </c>
      <c r="F62" s="19">
        <v>45</v>
      </c>
      <c r="G62" s="19">
        <v>12</v>
      </c>
      <c r="H62" s="20">
        <v>829167</v>
      </c>
      <c r="I62" s="20">
        <v>3141196</v>
      </c>
      <c r="J62" s="20">
        <v>159695236</v>
      </c>
      <c r="K62" s="20">
        <v>90087188</v>
      </c>
      <c r="L62" s="20">
        <v>45653762</v>
      </c>
      <c r="M62" s="26">
        <v>1.973269768326281</v>
      </c>
      <c r="N62" s="27">
        <v>0.3855986184856161</v>
      </c>
    </row>
    <row r="63" spans="2:14">
      <c r="B63">
        <v>55</v>
      </c>
      <c r="C63" s="15">
        <v>3</v>
      </c>
      <c r="D63" s="17">
        <v>4710998</v>
      </c>
      <c r="E63" s="15">
        <v>169635</v>
      </c>
      <c r="F63" s="15">
        <v>45</v>
      </c>
      <c r="G63" s="15">
        <v>12</v>
      </c>
      <c r="H63" s="17">
        <v>829167</v>
      </c>
      <c r="I63" s="17">
        <v>3175181</v>
      </c>
      <c r="J63" s="17">
        <v>164406234</v>
      </c>
      <c r="K63" s="17">
        <v>93262369</v>
      </c>
      <c r="L63" s="17">
        <v>46482929</v>
      </c>
      <c r="M63" s="24">
        <v>2.00637893294014</v>
      </c>
      <c r="N63" s="25">
        <v>0.3880795716073283</v>
      </c>
    </row>
    <row r="64" spans="2:14">
      <c r="B64" s="18">
        <v>56</v>
      </c>
      <c r="C64" s="19">
        <v>3</v>
      </c>
      <c r="D64" s="20">
        <v>4750917</v>
      </c>
      <c r="E64" s="19">
        <v>169925</v>
      </c>
      <c r="F64" s="19">
        <v>45</v>
      </c>
      <c r="G64" s="19">
        <v>12</v>
      </c>
      <c r="H64" s="20">
        <v>829167</v>
      </c>
      <c r="I64" s="20">
        <v>3209112</v>
      </c>
      <c r="J64" s="20">
        <v>169157150</v>
      </c>
      <c r="K64" s="20">
        <v>96471482</v>
      </c>
      <c r="L64" s="20">
        <v>47312096</v>
      </c>
      <c r="M64" s="26">
        <v>2.039044768066255</v>
      </c>
      <c r="N64" s="27">
        <v>0.3905764872561271</v>
      </c>
    </row>
    <row r="65" spans="2:14">
      <c r="B65">
        <v>57</v>
      </c>
      <c r="C65" s="15">
        <v>3</v>
      </c>
      <c r="D65" s="17">
        <v>4789743</v>
      </c>
      <c r="E65" s="15">
        <v>170203</v>
      </c>
      <c r="F65" s="15">
        <v>45</v>
      </c>
      <c r="G65" s="15">
        <v>12</v>
      </c>
      <c r="H65" s="17">
        <v>829167</v>
      </c>
      <c r="I65" s="17">
        <v>3242115</v>
      </c>
      <c r="J65" s="17">
        <v>173946893</v>
      </c>
      <c r="K65" s="17">
        <v>99713596</v>
      </c>
      <c r="L65" s="17">
        <v>48141263</v>
      </c>
      <c r="M65" s="24">
        <v>2.071270883630419</v>
      </c>
      <c r="N65" s="25">
        <v>0.3930894681353924</v>
      </c>
    </row>
    <row r="66" spans="2:14">
      <c r="B66" s="18">
        <v>58</v>
      </c>
      <c r="C66" s="19">
        <v>3</v>
      </c>
      <c r="D66" s="20">
        <v>4826497</v>
      </c>
      <c r="E66" s="19">
        <v>170461</v>
      </c>
      <c r="F66" s="19">
        <v>45</v>
      </c>
      <c r="G66" s="19">
        <v>12</v>
      </c>
      <c r="H66" s="20">
        <v>829167</v>
      </c>
      <c r="I66" s="20">
        <v>3273356</v>
      </c>
      <c r="J66" s="20">
        <v>178773391</v>
      </c>
      <c r="K66" s="20">
        <v>102986952</v>
      </c>
      <c r="L66" s="20">
        <v>48970430</v>
      </c>
      <c r="M66" s="26">
        <v>2.103043656009407</v>
      </c>
      <c r="N66" s="27">
        <v>0.3956186176093007</v>
      </c>
    </row>
    <row r="67" spans="2:14">
      <c r="B67">
        <v>59</v>
      </c>
      <c r="C67" s="15">
        <v>3</v>
      </c>
      <c r="D67" s="17">
        <v>4860328</v>
      </c>
      <c r="E67" s="15">
        <v>170694</v>
      </c>
      <c r="F67" s="15">
        <v>45</v>
      </c>
      <c r="G67" s="15">
        <v>12</v>
      </c>
      <c r="H67" s="17">
        <v>829167</v>
      </c>
      <c r="I67" s="17">
        <v>3302112</v>
      </c>
      <c r="J67" s="17">
        <v>183633719</v>
      </c>
      <c r="K67" s="17">
        <v>106289064</v>
      </c>
      <c r="L67" s="17">
        <v>49799597</v>
      </c>
      <c r="M67" s="24">
        <v>2.134335831719658</v>
      </c>
      <c r="N67" s="25">
        <v>0.3981640397070769</v>
      </c>
    </row>
    <row r="68" spans="2:14">
      <c r="B68" s="18">
        <v>60</v>
      </c>
      <c r="C68" s="19">
        <v>3</v>
      </c>
      <c r="D68" s="20">
        <v>4890568</v>
      </c>
      <c r="E68" s="19">
        <v>170896</v>
      </c>
      <c r="F68" s="19">
        <v>45</v>
      </c>
      <c r="G68" s="19">
        <v>12</v>
      </c>
      <c r="H68" s="20">
        <v>829167</v>
      </c>
      <c r="I68" s="20">
        <v>3327816</v>
      </c>
      <c r="J68" s="20">
        <v>188524287</v>
      </c>
      <c r="K68" s="20">
        <v>109616880</v>
      </c>
      <c r="L68" s="20">
        <v>50628764</v>
      </c>
      <c r="M68" s="26">
        <v>2.165110722980443</v>
      </c>
      <c r="N68" s="27">
        <v>0.4007258391272729</v>
      </c>
    </row>
    <row r="69" spans="2:14">
      <c r="B69">
        <v>61</v>
      </c>
      <c r="C69" s="15">
        <v>3</v>
      </c>
      <c r="D69" s="17">
        <v>4916760</v>
      </c>
      <c r="E69" s="15">
        <v>171063</v>
      </c>
      <c r="F69" s="15">
        <v>45</v>
      </c>
      <c r="G69" s="15">
        <v>12</v>
      </c>
      <c r="H69" s="17">
        <v>829167</v>
      </c>
      <c r="I69" s="17">
        <v>3350079</v>
      </c>
      <c r="J69" s="17">
        <v>193441047</v>
      </c>
      <c r="K69" s="17">
        <v>112966959</v>
      </c>
      <c r="L69" s="17">
        <v>51457931</v>
      </c>
      <c r="M69" s="24">
        <v>2.195326487118797</v>
      </c>
      <c r="N69" s="25">
        <v>0.4033041212420742</v>
      </c>
    </row>
    <row r="70" spans="2:14">
      <c r="B70" s="18">
        <v>62</v>
      </c>
      <c r="C70" s="19">
        <v>3</v>
      </c>
      <c r="D70" s="20">
        <v>4938666</v>
      </c>
      <c r="E70" s="19">
        <v>171191</v>
      </c>
      <c r="F70" s="19">
        <v>45</v>
      </c>
      <c r="G70" s="19">
        <v>12</v>
      </c>
      <c r="H70" s="20">
        <v>829167</v>
      </c>
      <c r="I70" s="20">
        <v>3368699</v>
      </c>
      <c r="J70" s="20">
        <v>198379713</v>
      </c>
      <c r="K70" s="20">
        <v>116335658</v>
      </c>
      <c r="L70" s="20">
        <v>52287098</v>
      </c>
      <c r="M70" s="26">
        <v>2.224940043007296</v>
      </c>
      <c r="N70" s="27">
        <v>0.4058989921016342</v>
      </c>
    </row>
    <row r="71" spans="2:14">
      <c r="B71">
        <v>63</v>
      </c>
      <c r="C71" s="15">
        <v>3</v>
      </c>
      <c r="D71" s="17">
        <v>4956243</v>
      </c>
      <c r="E71" s="15">
        <v>171284</v>
      </c>
      <c r="F71" s="15">
        <v>45</v>
      </c>
      <c r="G71" s="15">
        <v>12</v>
      </c>
      <c r="H71" s="17">
        <v>829167</v>
      </c>
      <c r="I71" s="17">
        <v>3383639</v>
      </c>
      <c r="J71" s="17">
        <v>203335956</v>
      </c>
      <c r="K71" s="17">
        <v>119719297</v>
      </c>
      <c r="L71" s="17">
        <v>53116265</v>
      </c>
      <c r="M71" s="24">
        <v>2.253910309625041</v>
      </c>
      <c r="N71" s="25">
        <v>0.4085105584384361</v>
      </c>
    </row>
    <row r="72" spans="2:14">
      <c r="B72" s="18">
        <v>64</v>
      </c>
      <c r="C72" s="19">
        <v>3</v>
      </c>
      <c r="D72" s="20">
        <v>4969609</v>
      </c>
      <c r="E72" s="19">
        <v>171339</v>
      </c>
      <c r="F72" s="19">
        <v>45</v>
      </c>
      <c r="G72" s="19">
        <v>12</v>
      </c>
      <c r="H72" s="20">
        <v>829167</v>
      </c>
      <c r="I72" s="20">
        <v>3395000</v>
      </c>
      <c r="J72" s="20">
        <v>208305564</v>
      </c>
      <c r="K72" s="20">
        <v>123114298</v>
      </c>
      <c r="L72" s="20">
        <v>53945432</v>
      </c>
      <c r="M72" s="26">
        <v>2.28220060922471</v>
      </c>
      <c r="N72" s="27">
        <v>0.4111389276716833</v>
      </c>
    </row>
    <row r="73" spans="2:14">
      <c r="B73">
        <v>65</v>
      </c>
      <c r="C73" s="15">
        <v>3</v>
      </c>
      <c r="D73" s="17">
        <v>4979005</v>
      </c>
      <c r="E73" s="15">
        <v>171360</v>
      </c>
      <c r="F73" s="15">
        <v>45</v>
      </c>
      <c r="G73" s="15">
        <v>12</v>
      </c>
      <c r="H73" s="17">
        <v>829167</v>
      </c>
      <c r="I73" s="17">
        <v>3402988</v>
      </c>
      <c r="J73" s="17">
        <v>213284570</v>
      </c>
      <c r="K73" s="17">
        <v>126517285</v>
      </c>
      <c r="L73" s="17">
        <v>54774599</v>
      </c>
      <c r="M73" s="24">
        <v>2.309780220288122</v>
      </c>
      <c r="N73" s="25">
        <v>0.4137842079117174</v>
      </c>
    </row>
    <row r="74" spans="2:14">
      <c r="B74" s="18">
        <v>66</v>
      </c>
      <c r="C74" s="19">
        <v>3</v>
      </c>
      <c r="D74" s="20">
        <v>4984754</v>
      </c>
      <c r="E74" s="19">
        <v>171349</v>
      </c>
      <c r="F74" s="19">
        <v>45</v>
      </c>
      <c r="G74" s="19">
        <v>12</v>
      </c>
      <c r="H74" s="20">
        <v>829167</v>
      </c>
      <c r="I74" s="20">
        <v>3407874</v>
      </c>
      <c r="J74" s="20">
        <v>218269324</v>
      </c>
      <c r="K74" s="20">
        <v>129925159</v>
      </c>
      <c r="L74" s="20">
        <v>55603766</v>
      </c>
      <c r="M74" s="26">
        <v>2.336625169180436</v>
      </c>
      <c r="N74" s="27">
        <v>0.4164465079644654</v>
      </c>
    </row>
    <row r="75" spans="2:14">
      <c r="B75">
        <v>67</v>
      </c>
      <c r="C75" s="15">
        <v>3</v>
      </c>
      <c r="D75" s="17">
        <v>4987221</v>
      </c>
      <c r="E75" s="15">
        <v>171311</v>
      </c>
      <c r="F75" s="15">
        <v>45</v>
      </c>
      <c r="G75" s="15">
        <v>12</v>
      </c>
      <c r="H75" s="17">
        <v>829167</v>
      </c>
      <c r="I75" s="17">
        <v>3409970</v>
      </c>
      <c r="J75" s="17">
        <v>223256544</v>
      </c>
      <c r="K75" s="17">
        <v>133335130</v>
      </c>
      <c r="L75" s="17">
        <v>56432933</v>
      </c>
      <c r="M75" s="24">
        <v>2.362718407373491</v>
      </c>
      <c r="N75" s="25">
        <v>0.4191259373359146</v>
      </c>
    </row>
    <row r="76" spans="2:14">
      <c r="B76" s="18">
        <v>68</v>
      </c>
      <c r="C76" s="19">
        <v>3</v>
      </c>
      <c r="D76" s="20">
        <v>4986787</v>
      </c>
      <c r="E76" s="19">
        <v>171246</v>
      </c>
      <c r="F76" s="19">
        <v>45</v>
      </c>
      <c r="G76" s="19">
        <v>12</v>
      </c>
      <c r="H76" s="20">
        <v>829167</v>
      </c>
      <c r="I76" s="20">
        <v>3409602</v>
      </c>
      <c r="J76" s="20">
        <v>228243331</v>
      </c>
      <c r="K76" s="20">
        <v>136744732</v>
      </c>
      <c r="L76" s="20">
        <v>57262100</v>
      </c>
      <c r="M76" s="26">
        <v>2.388049539220036</v>
      </c>
      <c r="N76" s="27">
        <v>0.4218226062366172</v>
      </c>
    </row>
    <row r="77" spans="2:14">
      <c r="B77">
        <v>69</v>
      </c>
      <c r="C77" s="15">
        <v>3</v>
      </c>
      <c r="D77" s="17">
        <v>4983829</v>
      </c>
      <c r="E77" s="15">
        <v>171159</v>
      </c>
      <c r="F77" s="15">
        <v>45</v>
      </c>
      <c r="G77" s="15">
        <v>12</v>
      </c>
      <c r="H77" s="17">
        <v>829167</v>
      </c>
      <c r="I77" s="17">
        <v>3407087</v>
      </c>
      <c r="J77" s="17">
        <v>233227160</v>
      </c>
      <c r="K77" s="17">
        <v>140151819</v>
      </c>
      <c r="L77" s="17">
        <v>58091267</v>
      </c>
      <c r="M77" s="24">
        <v>2.412614255455857</v>
      </c>
      <c r="N77" s="25">
        <v>0.4245366255862238</v>
      </c>
    </row>
    <row r="78" spans="2:14">
      <c r="B78" s="18">
        <v>70</v>
      </c>
      <c r="C78" s="19">
        <v>3</v>
      </c>
      <c r="D78" s="20">
        <v>4978700</v>
      </c>
      <c r="E78" s="19">
        <v>171054</v>
      </c>
      <c r="F78" s="19">
        <v>45</v>
      </c>
      <c r="G78" s="19">
        <v>12</v>
      </c>
      <c r="H78" s="20">
        <v>829167</v>
      </c>
      <c r="I78" s="20">
        <v>3402728</v>
      </c>
      <c r="J78" s="20">
        <v>238205860</v>
      </c>
      <c r="K78" s="20">
        <v>143554547</v>
      </c>
      <c r="L78" s="20">
        <v>58920434</v>
      </c>
      <c r="M78" s="26">
        <v>2.43641360237314</v>
      </c>
      <c r="N78" s="27">
        <v>0.4272681070180448</v>
      </c>
    </row>
    <row r="79" spans="2:14">
      <c r="B79">
        <v>71</v>
      </c>
      <c r="C79" s="15">
        <v>3</v>
      </c>
      <c r="D79" s="17">
        <v>4971726</v>
      </c>
      <c r="E79" s="15">
        <v>170931</v>
      </c>
      <c r="F79" s="15">
        <v>45</v>
      </c>
      <c r="G79" s="15">
        <v>12</v>
      </c>
      <c r="H79" s="17">
        <v>829167</v>
      </c>
      <c r="I79" s="17">
        <v>3396800</v>
      </c>
      <c r="J79" s="17">
        <v>243177585</v>
      </c>
      <c r="K79" s="17">
        <v>146951347</v>
      </c>
      <c r="L79" s="17">
        <v>59749601</v>
      </c>
      <c r="M79" s="24">
        <v>2.459453185920119</v>
      </c>
      <c r="N79" s="25">
        <v>0.4300171628836432</v>
      </c>
    </row>
    <row r="80" spans="2:14">
      <c r="B80" s="18">
        <v>72</v>
      </c>
      <c r="C80" s="19">
        <v>3</v>
      </c>
      <c r="D80" s="20">
        <v>4963196</v>
      </c>
      <c r="E80" s="19">
        <v>170796</v>
      </c>
      <c r="F80" s="19">
        <v>45</v>
      </c>
      <c r="G80" s="19">
        <v>12</v>
      </c>
      <c r="H80" s="20">
        <v>829167</v>
      </c>
      <c r="I80" s="20">
        <v>3389549</v>
      </c>
      <c r="J80" s="20">
        <v>248140781</v>
      </c>
      <c r="K80" s="20">
        <v>150340896</v>
      </c>
      <c r="L80" s="20">
        <v>60578768</v>
      </c>
      <c r="M80" s="26">
        <v>2.481742380356282</v>
      </c>
      <c r="N80" s="27">
        <v>0.4327839062574547</v>
      </c>
    </row>
    <row r="81" spans="2:14">
      <c r="B81">
        <v>73</v>
      </c>
      <c r="C81" s="15">
        <v>3</v>
      </c>
      <c r="D81" s="17">
        <v>4953366</v>
      </c>
      <c r="E81" s="15">
        <v>170648</v>
      </c>
      <c r="F81" s="15">
        <v>45</v>
      </c>
      <c r="G81" s="15">
        <v>12</v>
      </c>
      <c r="H81" s="17">
        <v>829167</v>
      </c>
      <c r="I81" s="17">
        <v>3381194</v>
      </c>
      <c r="J81" s="17">
        <v>253094147</v>
      </c>
      <c r="K81" s="17">
        <v>153722090</v>
      </c>
      <c r="L81" s="17">
        <v>61407935</v>
      </c>
      <c r="M81" s="24">
        <v>2.50329358593851</v>
      </c>
      <c r="N81" s="25">
        <v>0.4355684509414401</v>
      </c>
    </row>
    <row r="82" spans="2:14">
      <c r="B82" s="18">
        <v>74</v>
      </c>
      <c r="C82" s="19">
        <v>3</v>
      </c>
      <c r="D82" s="20">
        <v>4942457</v>
      </c>
      <c r="E82" s="19">
        <v>170491</v>
      </c>
      <c r="F82" s="19">
        <v>45</v>
      </c>
      <c r="G82" s="19">
        <v>12</v>
      </c>
      <c r="H82" s="20">
        <v>829167</v>
      </c>
      <c r="I82" s="20">
        <v>3371921</v>
      </c>
      <c r="J82" s="20">
        <v>258036604</v>
      </c>
      <c r="K82" s="20">
        <v>157094011</v>
      </c>
      <c r="L82" s="20">
        <v>62237102</v>
      </c>
      <c r="M82" s="26">
        <v>2.524121560601243</v>
      </c>
      <c r="N82" s="27">
        <v>0.4383709114697649</v>
      </c>
    </row>
    <row r="83" spans="2:14">
      <c r="B83">
        <v>75</v>
      </c>
      <c r="C83" s="15">
        <v>3</v>
      </c>
      <c r="D83" s="17">
        <v>4930658</v>
      </c>
      <c r="E83" s="15">
        <v>170325</v>
      </c>
      <c r="F83" s="15">
        <v>45</v>
      </c>
      <c r="G83" s="15">
        <v>12</v>
      </c>
      <c r="H83" s="17">
        <v>829167</v>
      </c>
      <c r="I83" s="17">
        <v>3361892</v>
      </c>
      <c r="J83" s="17">
        <v>262967261</v>
      </c>
      <c r="K83" s="17">
        <v>160455903</v>
      </c>
      <c r="L83" s="17">
        <v>63066269</v>
      </c>
      <c r="M83" s="24">
        <v>2.544242836544357</v>
      </c>
      <c r="N83" s="25">
        <v>0.441191403113511</v>
      </c>
    </row>
    <row r="84" spans="2:14">
      <c r="B84" s="18">
        <v>76</v>
      </c>
      <c r="C84" s="19">
        <v>3</v>
      </c>
      <c r="D84" s="20">
        <v>4918129</v>
      </c>
      <c r="E84" s="19">
        <v>170153</v>
      </c>
      <c r="F84" s="19">
        <v>45</v>
      </c>
      <c r="G84" s="19">
        <v>12</v>
      </c>
      <c r="H84" s="20">
        <v>829167</v>
      </c>
      <c r="I84" s="20">
        <v>3351243</v>
      </c>
      <c r="J84" s="20">
        <v>267885391</v>
      </c>
      <c r="K84" s="20">
        <v>163807146</v>
      </c>
      <c r="L84" s="20">
        <v>63895436</v>
      </c>
      <c r="M84" s="26">
        <v>2.563675223223678</v>
      </c>
      <c r="N84" s="27">
        <v>0.4440300418854181</v>
      </c>
    </row>
    <row r="85" spans="2:14">
      <c r="B85">
        <v>77</v>
      </c>
      <c r="C85" s="15">
        <v>3</v>
      </c>
      <c r="D85" s="17">
        <v>4905007</v>
      </c>
      <c r="E85" s="15">
        <v>169975</v>
      </c>
      <c r="F85" s="15">
        <v>45</v>
      </c>
      <c r="G85" s="15">
        <v>12</v>
      </c>
      <c r="H85" s="17">
        <v>829167</v>
      </c>
      <c r="I85" s="17">
        <v>3340089</v>
      </c>
      <c r="J85" s="17">
        <v>272790398</v>
      </c>
      <c r="K85" s="17">
        <v>167147235</v>
      </c>
      <c r="L85" s="17">
        <v>64724603</v>
      </c>
      <c r="M85" s="24">
        <v>2.582437392416965</v>
      </c>
      <c r="N85" s="25">
        <v>0.4468869445446549</v>
      </c>
    </row>
    <row r="86" spans="2:14">
      <c r="B86" s="18">
        <v>78</v>
      </c>
      <c r="C86" s="19">
        <v>3</v>
      </c>
      <c r="D86" s="20">
        <v>4891403</v>
      </c>
      <c r="E86" s="19">
        <v>169792</v>
      </c>
      <c r="F86" s="19">
        <v>45</v>
      </c>
      <c r="G86" s="19">
        <v>12</v>
      </c>
      <c r="H86" s="20">
        <v>829167</v>
      </c>
      <c r="I86" s="20">
        <v>3328526</v>
      </c>
      <c r="J86" s="20">
        <v>277681801</v>
      </c>
      <c r="K86" s="20">
        <v>170475761</v>
      </c>
      <c r="L86" s="20">
        <v>65553770</v>
      </c>
      <c r="M86" s="26">
        <v>2.600548537828393</v>
      </c>
      <c r="N86" s="27">
        <v>0.4497622286016227</v>
      </c>
    </row>
    <row r="87" spans="2:14">
      <c r="B87">
        <v>79</v>
      </c>
      <c r="C87" s="15">
        <v>3</v>
      </c>
      <c r="D87" s="17">
        <v>4877413</v>
      </c>
      <c r="E87" s="15">
        <v>169606</v>
      </c>
      <c r="F87" s="15">
        <v>45</v>
      </c>
      <c r="G87" s="15">
        <v>12</v>
      </c>
      <c r="H87" s="17">
        <v>829167</v>
      </c>
      <c r="I87" s="17">
        <v>3316634</v>
      </c>
      <c r="J87" s="17">
        <v>282559213</v>
      </c>
      <c r="K87" s="17">
        <v>173792394</v>
      </c>
      <c r="L87" s="17">
        <v>66382937</v>
      </c>
      <c r="M87" s="24">
        <v>2.618028100272458</v>
      </c>
      <c r="N87" s="25">
        <v>0.4526560123227878</v>
      </c>
    </row>
    <row r="88" spans="2:14">
      <c r="B88" s="18">
        <v>80</v>
      </c>
      <c r="C88" s="19">
        <v>3</v>
      </c>
      <c r="D88" s="20">
        <v>4863113</v>
      </c>
      <c r="E88" s="19">
        <v>169416</v>
      </c>
      <c r="F88" s="19">
        <v>45</v>
      </c>
      <c r="G88" s="19">
        <v>12</v>
      </c>
      <c r="H88" s="20">
        <v>829167</v>
      </c>
      <c r="I88" s="20">
        <v>3304479</v>
      </c>
      <c r="J88" s="20">
        <v>287422327</v>
      </c>
      <c r="K88" s="20">
        <v>177096874</v>
      </c>
      <c r="L88" s="20">
        <v>67212104</v>
      </c>
      <c r="M88" s="26">
        <v>2.634895549207889</v>
      </c>
      <c r="N88" s="27">
        <v>0.4555684147355467</v>
      </c>
    </row>
    <row r="89" spans="2:14">
      <c r="B89">
        <v>81</v>
      </c>
      <c r="C89" s="15">
        <v>3</v>
      </c>
      <c r="D89" s="17">
        <v>4848570</v>
      </c>
      <c r="E89" s="15">
        <v>169224</v>
      </c>
      <c r="F89" s="15">
        <v>45</v>
      </c>
      <c r="G89" s="15">
        <v>12</v>
      </c>
      <c r="H89" s="17">
        <v>829167</v>
      </c>
      <c r="I89" s="17">
        <v>3292117</v>
      </c>
      <c r="J89" s="17">
        <v>292270896</v>
      </c>
      <c r="K89" s="17">
        <v>180388991</v>
      </c>
      <c r="L89" s="17">
        <v>68041271</v>
      </c>
      <c r="M89" s="24">
        <v>2.651170211811564</v>
      </c>
      <c r="N89" s="25">
        <v>0.4584995556331217</v>
      </c>
    </row>
    <row r="90" spans="2:14">
      <c r="B90" s="18">
        <v>82</v>
      </c>
      <c r="C90" s="19">
        <v>3</v>
      </c>
      <c r="D90" s="20">
        <v>4833835</v>
      </c>
      <c r="E90" s="19">
        <v>169030</v>
      </c>
      <c r="F90" s="19">
        <v>45</v>
      </c>
      <c r="G90" s="19">
        <v>12</v>
      </c>
      <c r="H90" s="20">
        <v>829167</v>
      </c>
      <c r="I90" s="20">
        <v>3279593</v>
      </c>
      <c r="J90" s="20">
        <v>297104731</v>
      </c>
      <c r="K90" s="20">
        <v>183668584</v>
      </c>
      <c r="L90" s="20">
        <v>68870438</v>
      </c>
      <c r="M90" s="26">
        <v>2.666871141572651</v>
      </c>
      <c r="N90" s="27">
        <v>0.4614495555794884</v>
      </c>
    </row>
    <row r="91" spans="2:14">
      <c r="B91">
        <v>83</v>
      </c>
      <c r="C91" s="15">
        <v>3</v>
      </c>
      <c r="D91" s="17">
        <v>4818953</v>
      </c>
      <c r="E91" s="15">
        <v>168834</v>
      </c>
      <c r="F91" s="15">
        <v>45</v>
      </c>
      <c r="G91" s="15">
        <v>12</v>
      </c>
      <c r="H91" s="17">
        <v>829167</v>
      </c>
      <c r="I91" s="17">
        <v>3266943</v>
      </c>
      <c r="J91" s="17">
        <v>301923685</v>
      </c>
      <c r="K91" s="17">
        <v>186935527</v>
      </c>
      <c r="L91" s="17">
        <v>69699605</v>
      </c>
      <c r="M91" s="24">
        <v>2.682017019338714</v>
      </c>
      <c r="N91" s="25">
        <v>0.4644185359143346</v>
      </c>
    </row>
    <row r="92" spans="2:14">
      <c r="B92" s="18">
        <v>84</v>
      </c>
      <c r="C92" s="19">
        <v>3</v>
      </c>
      <c r="D92" s="20">
        <v>4803960</v>
      </c>
      <c r="E92" s="19">
        <v>168636</v>
      </c>
      <c r="F92" s="19">
        <v>45</v>
      </c>
      <c r="G92" s="19">
        <v>12</v>
      </c>
      <c r="H92" s="20">
        <v>829167</v>
      </c>
      <c r="I92" s="20">
        <v>3254199</v>
      </c>
      <c r="J92" s="20">
        <v>306727645</v>
      </c>
      <c r="K92" s="20">
        <v>190189726</v>
      </c>
      <c r="L92" s="20">
        <v>70528772</v>
      </c>
      <c r="M92" s="26">
        <v>2.696626080727504</v>
      </c>
      <c r="N92" s="27">
        <v>0.4674066187580512</v>
      </c>
    </row>
  </sheetData>
  <mergeCells count="11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3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213</v>
      </c>
      <c r="C2" s="1"/>
      <c r="D2" s="1"/>
      <c r="E2" s="1"/>
    </row>
    <row r="4" spans="2:5">
      <c r="B4" s="3" t="s">
        <v>214</v>
      </c>
      <c r="C4" s="3"/>
      <c r="D4" s="3"/>
      <c r="E4" s="3"/>
    </row>
    <row r="5" spans="2:5">
      <c r="C5" s="10" t="s">
        <v>86</v>
      </c>
      <c r="D5" s="12" t="s">
        <v>87</v>
      </c>
      <c r="E5" s="10" t="s">
        <v>88</v>
      </c>
    </row>
    <row r="6" spans="2:5">
      <c r="B6" s="4" t="s">
        <v>215</v>
      </c>
      <c r="C6" s="17">
        <v>271336915</v>
      </c>
      <c r="D6" s="17">
        <v>306727645</v>
      </c>
      <c r="E6" s="17">
        <v>344396895</v>
      </c>
    </row>
    <row r="7" spans="2:5">
      <c r="B7" s="4" t="s">
        <v>216</v>
      </c>
      <c r="C7" s="17">
        <v>168437607</v>
      </c>
      <c r="D7" s="17">
        <v>190189726</v>
      </c>
      <c r="E7" s="17">
        <v>209723587</v>
      </c>
    </row>
    <row r="8" spans="2:5">
      <c r="B8" s="4" t="s">
        <v>200</v>
      </c>
      <c r="C8" s="17">
        <v>62198771</v>
      </c>
      <c r="D8" s="17">
        <v>70528772</v>
      </c>
      <c r="E8" s="17">
        <v>83013774</v>
      </c>
    </row>
    <row r="9" spans="2:5">
      <c r="B9" s="4" t="s">
        <v>217</v>
      </c>
      <c r="C9" s="23" t="s">
        <v>199</v>
      </c>
      <c r="D9" s="23" t="s">
        <v>199</v>
      </c>
      <c r="E9" s="23" t="s">
        <v>218</v>
      </c>
    </row>
    <row r="10" spans="2:5">
      <c r="B10" s="4" t="s">
        <v>219</v>
      </c>
      <c r="C10" s="23" t="s">
        <v>220</v>
      </c>
      <c r="D10" s="23" t="s">
        <v>220</v>
      </c>
      <c r="E10" s="23" t="s">
        <v>221</v>
      </c>
    </row>
    <row r="11" spans="2:5">
      <c r="B11" s="4" t="s">
        <v>222</v>
      </c>
      <c r="C11" s="17">
        <v>4419823</v>
      </c>
      <c r="D11" s="17">
        <v>4987221</v>
      </c>
      <c r="E11" s="17">
        <v>5383397</v>
      </c>
    </row>
    <row r="12" spans="2:5">
      <c r="B12" s="4" t="s">
        <v>223</v>
      </c>
      <c r="C12" s="15">
        <v>83</v>
      </c>
      <c r="D12" s="15">
        <v>67</v>
      </c>
      <c r="E12" s="15">
        <v>48</v>
      </c>
    </row>
    <row r="13" spans="2:5">
      <c r="B13" s="4" t="s">
        <v>224</v>
      </c>
      <c r="C13" s="17">
        <v>9353933</v>
      </c>
      <c r="D13" s="17">
        <v>9353933</v>
      </c>
      <c r="E13" s="17">
        <v>9557967</v>
      </c>
    </row>
    <row r="14" spans="2:5">
      <c r="B14" s="4" t="s">
        <v>225</v>
      </c>
      <c r="C14" s="17">
        <v>68823515</v>
      </c>
      <c r="D14" s="17">
        <v>79969561</v>
      </c>
      <c r="E14" s="17">
        <v>96057479</v>
      </c>
    </row>
    <row r="15" spans="2:5">
      <c r="B15" s="4" t="s">
        <v>226</v>
      </c>
      <c r="C15" s="15">
        <v>8876</v>
      </c>
      <c r="D15" s="15">
        <v>8999</v>
      </c>
      <c r="E15" s="15">
        <v>9000</v>
      </c>
    </row>
    <row r="16" spans="2:5">
      <c r="B16" s="4" t="s">
        <v>227</v>
      </c>
      <c r="C16" s="25">
        <v>0.603860505391104</v>
      </c>
      <c r="D16" s="25">
        <v>0.5341860935482809</v>
      </c>
      <c r="E16" s="25">
        <v>0.4757581902001706</v>
      </c>
    </row>
    <row r="17" spans="2:5">
      <c r="B17" s="4" t="s">
        <v>228</v>
      </c>
      <c r="C17" s="25">
        <v>0.3703502791800433</v>
      </c>
      <c r="D17" s="25">
        <v>0.369460547419974</v>
      </c>
      <c r="E17" s="25">
        <v>0.3699208274509003</v>
      </c>
    </row>
    <row r="18" spans="2:5">
      <c r="B18" s="4" t="s">
        <v>229</v>
      </c>
      <c r="C18" s="25">
        <v>0.02578923754158341</v>
      </c>
      <c r="D18" s="25">
        <v>0.09635334273063863</v>
      </c>
      <c r="E18" s="25">
        <v>0.1543209649271692</v>
      </c>
    </row>
    <row r="19" spans="2:5">
      <c r="B19" s="4" t="s">
        <v>230</v>
      </c>
      <c r="C19" s="17">
        <v>163849643</v>
      </c>
      <c r="D19" s="17">
        <v>163849643</v>
      </c>
      <c r="E19" s="17">
        <v>163849643</v>
      </c>
    </row>
    <row r="20" spans="2:5">
      <c r="B20" s="4" t="s">
        <v>231</v>
      </c>
      <c r="C20" s="17">
        <v>100489700</v>
      </c>
      <c r="D20" s="17">
        <v>113323764</v>
      </c>
      <c r="E20" s="17">
        <v>127399584</v>
      </c>
    </row>
    <row r="21" spans="2:5">
      <c r="B21" s="4" t="s">
        <v>232</v>
      </c>
      <c r="C21" s="17">
        <v>6997572</v>
      </c>
      <c r="D21" s="17">
        <v>29554234</v>
      </c>
      <c r="E21" s="17">
        <v>53147661</v>
      </c>
    </row>
    <row r="24" spans="2:5">
      <c r="B24" s="3" t="s">
        <v>233</v>
      </c>
      <c r="C24" s="3"/>
      <c r="D24" s="3"/>
      <c r="E24" s="3"/>
    </row>
    <row r="25" spans="2:5" ht="30" customHeight="1">
      <c r="B25" s="11" t="s">
        <v>234</v>
      </c>
      <c r="C25" s="11"/>
      <c r="D25" s="11"/>
      <c r="E25" s="11"/>
    </row>
    <row r="26" spans="2:5" ht="30" customHeight="1">
      <c r="B26" s="11" t="s">
        <v>235</v>
      </c>
      <c r="C26" s="11"/>
      <c r="D26" s="11"/>
      <c r="E26" s="11"/>
    </row>
    <row r="27" spans="2:5" ht="30" customHeight="1">
      <c r="B27" s="11" t="s">
        <v>236</v>
      </c>
      <c r="C27" s="11"/>
      <c r="D27" s="11"/>
      <c r="E27" s="11"/>
    </row>
    <row r="28" spans="2:5" ht="30" customHeight="1">
      <c r="B28" s="11" t="s">
        <v>237</v>
      </c>
      <c r="C28" s="11"/>
      <c r="D28" s="11"/>
      <c r="E28" s="11"/>
    </row>
    <row r="29" spans="2:5" ht="30" customHeight="1">
      <c r="B29" s="11" t="s">
        <v>238</v>
      </c>
      <c r="C29" s="11"/>
      <c r="D29" s="11"/>
      <c r="E29" s="11"/>
    </row>
    <row r="30" spans="2:5" ht="30" customHeight="1">
      <c r="B30" s="11" t="s">
        <v>239</v>
      </c>
      <c r="C30" s="11"/>
      <c r="D30" s="11"/>
      <c r="E30" s="11"/>
    </row>
  </sheetData>
  <mergeCells count="9">
    <mergeCell ref="B2:E2"/>
    <mergeCell ref="B4:E4"/>
    <mergeCell ref="B24:E24"/>
    <mergeCell ref="B25:E25"/>
    <mergeCell ref="B26:E26"/>
    <mergeCell ref="B27:E27"/>
    <mergeCell ref="B28:E28"/>
    <mergeCell ref="B29:E29"/>
    <mergeCell ref="B30:E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68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32.7109375" customWidth="1"/>
    <col min="4" max="4" width="52.7109375" customWidth="1"/>
    <col min="5" max="5" width="42.7109375" customWidth="1"/>
  </cols>
  <sheetData>
    <row r="2" spans="2:5">
      <c r="B2" s="1" t="s">
        <v>240</v>
      </c>
      <c r="C2" s="1"/>
      <c r="D2" s="1"/>
      <c r="E2" s="1"/>
    </row>
    <row r="3" spans="2:5">
      <c r="B3" s="2" t="s">
        <v>241</v>
      </c>
      <c r="C3" s="2"/>
      <c r="D3" s="2"/>
      <c r="E3" s="2"/>
    </row>
    <row r="5" spans="2:5">
      <c r="B5" s="4" t="s">
        <v>242</v>
      </c>
      <c r="C5" s="28" t="s">
        <v>243</v>
      </c>
      <c r="D5" s="11" t="s">
        <v>244</v>
      </c>
    </row>
    <row r="6" spans="2:5">
      <c r="C6" s="29" t="s">
        <v>245</v>
      </c>
      <c r="D6" s="11" t="s">
        <v>246</v>
      </c>
    </row>
    <row r="7" spans="2:5">
      <c r="C7" s="30" t="s">
        <v>247</v>
      </c>
      <c r="D7" s="11" t="s">
        <v>248</v>
      </c>
    </row>
    <row r="8" spans="2:5">
      <c r="C8" s="31" t="s">
        <v>249</v>
      </c>
      <c r="D8" s="11" t="s">
        <v>250</v>
      </c>
    </row>
    <row r="10" spans="2:5">
      <c r="B10" s="3" t="s">
        <v>251</v>
      </c>
      <c r="C10" s="3"/>
      <c r="D10" s="3"/>
      <c r="E10" s="3"/>
    </row>
    <row r="11" spans="2:5">
      <c r="B11" s="10" t="s">
        <v>252</v>
      </c>
      <c r="C11" s="10" t="s">
        <v>253</v>
      </c>
      <c r="D11" s="10" t="s">
        <v>254</v>
      </c>
      <c r="E11" s="10" t="s">
        <v>255</v>
      </c>
    </row>
    <row r="12" spans="2:5">
      <c r="B12" s="4" t="s">
        <v>256</v>
      </c>
      <c r="C12" s="28" t="s">
        <v>98</v>
      </c>
      <c r="D12" s="11" t="s">
        <v>257</v>
      </c>
      <c r="E12" s="28" t="s">
        <v>243</v>
      </c>
    </row>
    <row r="13" spans="2:5">
      <c r="B13" s="4" t="s">
        <v>258</v>
      </c>
      <c r="C13" s="28" t="s">
        <v>259</v>
      </c>
      <c r="D13" s="11" t="s">
        <v>257</v>
      </c>
      <c r="E13" s="28" t="s">
        <v>243</v>
      </c>
    </row>
    <row r="14" spans="2:5">
      <c r="B14" s="4" t="s">
        <v>260</v>
      </c>
      <c r="C14" s="28" t="s">
        <v>261</v>
      </c>
      <c r="D14" s="11" t="s">
        <v>262</v>
      </c>
      <c r="E14" s="28" t="s">
        <v>243</v>
      </c>
    </row>
    <row r="15" spans="2:5">
      <c r="B15" s="4" t="s">
        <v>263</v>
      </c>
      <c r="C15" s="28" t="s">
        <v>264</v>
      </c>
      <c r="D15" s="11" t="s">
        <v>265</v>
      </c>
      <c r="E15" s="28" t="s">
        <v>243</v>
      </c>
    </row>
    <row r="16" spans="2:5">
      <c r="B16" s="4" t="s">
        <v>266</v>
      </c>
      <c r="C16" s="28" t="s">
        <v>267</v>
      </c>
      <c r="D16" s="11" t="s">
        <v>268</v>
      </c>
      <c r="E16" s="28" t="s">
        <v>243</v>
      </c>
    </row>
    <row r="17" spans="2:5">
      <c r="B17" s="4" t="s">
        <v>269</v>
      </c>
      <c r="C17" s="28" t="s">
        <v>115</v>
      </c>
      <c r="D17" s="11" t="s">
        <v>270</v>
      </c>
      <c r="E17" s="28" t="s">
        <v>243</v>
      </c>
    </row>
    <row r="18" spans="2:5">
      <c r="B18" s="4" t="s">
        <v>271</v>
      </c>
      <c r="C18" s="28" t="s">
        <v>272</v>
      </c>
      <c r="D18" s="11" t="s">
        <v>273</v>
      </c>
      <c r="E18" s="28" t="s">
        <v>243</v>
      </c>
    </row>
    <row r="19" spans="2:5">
      <c r="B19" s="4" t="s">
        <v>274</v>
      </c>
      <c r="C19" s="28" t="s">
        <v>275</v>
      </c>
      <c r="D19" s="11" t="s">
        <v>276</v>
      </c>
      <c r="E19" s="28" t="s">
        <v>243</v>
      </c>
    </row>
    <row r="20" spans="2:5">
      <c r="B20" s="4" t="s">
        <v>277</v>
      </c>
      <c r="C20" s="28" t="s">
        <v>278</v>
      </c>
      <c r="D20" s="11" t="s">
        <v>279</v>
      </c>
      <c r="E20" s="28" t="s">
        <v>243</v>
      </c>
    </row>
    <row r="21" spans="2:5">
      <c r="B21" s="4" t="s">
        <v>280</v>
      </c>
      <c r="C21" s="28" t="s">
        <v>281</v>
      </c>
      <c r="D21" s="11" t="s">
        <v>282</v>
      </c>
      <c r="E21" s="28" t="s">
        <v>243</v>
      </c>
    </row>
    <row r="22" spans="2:5">
      <c r="B22" s="4" t="s">
        <v>283</v>
      </c>
      <c r="C22" s="28" t="s">
        <v>284</v>
      </c>
      <c r="D22" s="11" t="s">
        <v>285</v>
      </c>
      <c r="E22" s="28" t="s">
        <v>243</v>
      </c>
    </row>
    <row r="23" spans="2:5">
      <c r="B23" s="4" t="s">
        <v>155</v>
      </c>
      <c r="C23" s="28" t="s">
        <v>286</v>
      </c>
      <c r="D23" s="11" t="s">
        <v>287</v>
      </c>
      <c r="E23" s="28" t="s">
        <v>243</v>
      </c>
    </row>
    <row r="24" spans="2:5">
      <c r="B24" s="4" t="s">
        <v>157</v>
      </c>
      <c r="C24" s="28" t="s">
        <v>288</v>
      </c>
      <c r="D24" s="11" t="s">
        <v>287</v>
      </c>
      <c r="E24" s="28" t="s">
        <v>243</v>
      </c>
    </row>
    <row r="25" spans="2:5">
      <c r="B25" s="4" t="s">
        <v>289</v>
      </c>
      <c r="C25" s="28" t="s">
        <v>290</v>
      </c>
      <c r="D25" s="11" t="s">
        <v>291</v>
      </c>
      <c r="E25" s="28" t="s">
        <v>243</v>
      </c>
    </row>
    <row r="27" spans="2:5">
      <c r="B27" s="3" t="s">
        <v>292</v>
      </c>
      <c r="C27" s="3"/>
      <c r="D27" s="3"/>
      <c r="E27" s="3"/>
    </row>
    <row r="28" spans="2:5">
      <c r="B28" s="10" t="s">
        <v>85</v>
      </c>
      <c r="C28" s="10" t="s">
        <v>293</v>
      </c>
      <c r="D28" s="10" t="s">
        <v>294</v>
      </c>
      <c r="E28" s="10" t="s">
        <v>255</v>
      </c>
    </row>
    <row r="29" spans="2:5">
      <c r="B29" s="4" t="s">
        <v>295</v>
      </c>
      <c r="C29" s="29" t="s">
        <v>296</v>
      </c>
      <c r="D29" s="11" t="s">
        <v>297</v>
      </c>
      <c r="E29" s="29" t="s">
        <v>245</v>
      </c>
    </row>
    <row r="30" spans="2:5">
      <c r="B30" s="4" t="s">
        <v>298</v>
      </c>
      <c r="C30" s="29" t="s">
        <v>299</v>
      </c>
      <c r="D30" s="11" t="s">
        <v>300</v>
      </c>
      <c r="E30" s="29" t="s">
        <v>245</v>
      </c>
    </row>
    <row r="31" spans="2:5">
      <c r="B31" s="4" t="s">
        <v>301</v>
      </c>
      <c r="C31" s="29" t="s">
        <v>302</v>
      </c>
      <c r="D31" s="11" t="s">
        <v>13</v>
      </c>
      <c r="E31" s="29" t="s">
        <v>245</v>
      </c>
    </row>
    <row r="32" spans="2:5">
      <c r="B32" s="4" t="s">
        <v>303</v>
      </c>
      <c r="C32" s="29" t="s">
        <v>304</v>
      </c>
      <c r="D32" s="11" t="s">
        <v>305</v>
      </c>
      <c r="E32" s="29" t="s">
        <v>245</v>
      </c>
    </row>
    <row r="33" spans="2:5">
      <c r="B33" s="4" t="s">
        <v>306</v>
      </c>
      <c r="C33" s="29" t="s">
        <v>307</v>
      </c>
      <c r="D33" s="11" t="s">
        <v>308</v>
      </c>
      <c r="E33" s="29" t="s">
        <v>245</v>
      </c>
    </row>
    <row r="34" spans="2:5">
      <c r="B34" s="4" t="s">
        <v>309</v>
      </c>
      <c r="C34" s="29" t="s">
        <v>310</v>
      </c>
      <c r="D34" s="11" t="s">
        <v>311</v>
      </c>
      <c r="E34" s="29" t="s">
        <v>245</v>
      </c>
    </row>
    <row r="35" spans="2:5">
      <c r="B35" s="4" t="s">
        <v>312</v>
      </c>
      <c r="C35" s="29" t="s">
        <v>313</v>
      </c>
      <c r="D35" s="11" t="s">
        <v>314</v>
      </c>
      <c r="E35" s="29" t="s">
        <v>245</v>
      </c>
    </row>
    <row r="36" spans="2:5">
      <c r="B36" s="4" t="s">
        <v>315</v>
      </c>
      <c r="C36" s="29" t="s">
        <v>316</v>
      </c>
      <c r="D36" s="11" t="s">
        <v>317</v>
      </c>
      <c r="E36" s="29" t="s">
        <v>245</v>
      </c>
    </row>
    <row r="37" spans="2:5">
      <c r="B37" s="4" t="s">
        <v>318</v>
      </c>
      <c r="C37" s="29" t="s">
        <v>319</v>
      </c>
      <c r="D37" s="11" t="s">
        <v>320</v>
      </c>
      <c r="E37" s="29" t="s">
        <v>245</v>
      </c>
    </row>
    <row r="38" spans="2:5">
      <c r="B38" s="4" t="s">
        <v>321</v>
      </c>
      <c r="C38" s="29" t="s">
        <v>322</v>
      </c>
      <c r="D38" s="11" t="s">
        <v>323</v>
      </c>
      <c r="E38" s="29" t="s">
        <v>245</v>
      </c>
    </row>
    <row r="39" spans="2:5">
      <c r="B39" s="4" t="s">
        <v>324</v>
      </c>
      <c r="C39" s="29" t="s">
        <v>325</v>
      </c>
      <c r="D39" s="11" t="s">
        <v>326</v>
      </c>
      <c r="E39" s="29" t="s">
        <v>245</v>
      </c>
    </row>
    <row r="40" spans="2:5">
      <c r="B40" s="4" t="s">
        <v>327</v>
      </c>
      <c r="C40" s="29" t="s">
        <v>328</v>
      </c>
      <c r="D40" s="11" t="s">
        <v>329</v>
      </c>
      <c r="E40" s="29" t="s">
        <v>245</v>
      </c>
    </row>
    <row r="41" spans="2:5">
      <c r="B41" s="4" t="s">
        <v>58</v>
      </c>
      <c r="C41" s="29" t="s">
        <v>330</v>
      </c>
      <c r="D41" s="11" t="s">
        <v>331</v>
      </c>
      <c r="E41" s="29" t="s">
        <v>245</v>
      </c>
    </row>
    <row r="42" spans="2:5">
      <c r="B42" s="4" t="s">
        <v>64</v>
      </c>
      <c r="C42" s="29" t="s">
        <v>332</v>
      </c>
      <c r="D42" s="11" t="s">
        <v>333</v>
      </c>
      <c r="E42" s="29" t="s">
        <v>245</v>
      </c>
    </row>
    <row r="44" spans="2:5">
      <c r="B44" s="3" t="s">
        <v>334</v>
      </c>
      <c r="C44" s="3"/>
      <c r="D44" s="3"/>
      <c r="E44" s="3"/>
    </row>
    <row r="45" spans="2:5">
      <c r="B45" s="10" t="s">
        <v>335</v>
      </c>
      <c r="C45" s="10" t="s">
        <v>336</v>
      </c>
      <c r="D45" s="10" t="s">
        <v>337</v>
      </c>
      <c r="E45" s="10" t="s">
        <v>255</v>
      </c>
    </row>
    <row r="46" spans="2:5" ht="35" customHeight="1">
      <c r="B46" s="4" t="s">
        <v>338</v>
      </c>
      <c r="C46" s="30" t="s">
        <v>339</v>
      </c>
      <c r="D46" s="11" t="s">
        <v>340</v>
      </c>
      <c r="E46" s="30" t="s">
        <v>247</v>
      </c>
    </row>
    <row r="47" spans="2:5" ht="35" customHeight="1">
      <c r="B47" s="4" t="s">
        <v>341</v>
      </c>
      <c r="C47" s="30" t="s">
        <v>342</v>
      </c>
      <c r="D47" s="11" t="s">
        <v>343</v>
      </c>
      <c r="E47" s="30" t="s">
        <v>247</v>
      </c>
    </row>
    <row r="48" spans="2:5" ht="35" customHeight="1">
      <c r="B48" s="4" t="s">
        <v>344</v>
      </c>
      <c r="C48" s="30" t="s">
        <v>345</v>
      </c>
      <c r="D48" s="11" t="s">
        <v>346</v>
      </c>
      <c r="E48" s="30" t="s">
        <v>247</v>
      </c>
    </row>
    <row r="49" spans="2:5" ht="35" customHeight="1">
      <c r="B49" s="4" t="s">
        <v>347</v>
      </c>
      <c r="C49" s="30" t="s">
        <v>348</v>
      </c>
      <c r="D49" s="11" t="s">
        <v>349</v>
      </c>
      <c r="E49" s="30" t="s">
        <v>247</v>
      </c>
    </row>
    <row r="50" spans="2:5" ht="35" customHeight="1">
      <c r="B50" s="4" t="s">
        <v>350</v>
      </c>
      <c r="C50" s="30" t="s">
        <v>351</v>
      </c>
      <c r="D50" s="11" t="s">
        <v>352</v>
      </c>
      <c r="E50" s="30" t="s">
        <v>247</v>
      </c>
    </row>
    <row r="51" spans="2:5" ht="35" customHeight="1">
      <c r="B51" s="4" t="s">
        <v>353</v>
      </c>
      <c r="C51" s="30" t="s">
        <v>354</v>
      </c>
      <c r="D51" s="11" t="s">
        <v>355</v>
      </c>
      <c r="E51" s="30" t="s">
        <v>247</v>
      </c>
    </row>
    <row r="52" spans="2:5" ht="35" customHeight="1">
      <c r="B52" s="4" t="s">
        <v>356</v>
      </c>
      <c r="C52" s="30" t="s">
        <v>357</v>
      </c>
      <c r="D52" s="11" t="s">
        <v>358</v>
      </c>
      <c r="E52" s="30" t="s">
        <v>247</v>
      </c>
    </row>
    <row r="53" spans="2:5" ht="35" customHeight="1">
      <c r="B53" s="4" t="s">
        <v>359</v>
      </c>
      <c r="C53" s="30" t="s">
        <v>360</v>
      </c>
      <c r="D53" s="11" t="s">
        <v>361</v>
      </c>
      <c r="E53" s="30" t="s">
        <v>247</v>
      </c>
    </row>
    <row r="55" spans="2:5">
      <c r="B55" s="3" t="s">
        <v>362</v>
      </c>
      <c r="C55" s="3"/>
      <c r="D55" s="3"/>
      <c r="E55" s="3"/>
    </row>
    <row r="56" spans="2:5">
      <c r="B56" s="10" t="s">
        <v>363</v>
      </c>
      <c r="C56" s="10" t="s">
        <v>364</v>
      </c>
      <c r="D56" s="10" t="s">
        <v>365</v>
      </c>
      <c r="E56" s="10" t="s">
        <v>255</v>
      </c>
    </row>
    <row r="57" spans="2:5">
      <c r="B57" s="4" t="s">
        <v>366</v>
      </c>
      <c r="C57" s="31" t="s">
        <v>367</v>
      </c>
      <c r="D57" s="11" t="s">
        <v>368</v>
      </c>
      <c r="E57" s="31" t="s">
        <v>249</v>
      </c>
    </row>
    <row r="58" spans="2:5">
      <c r="B58" s="4" t="s">
        <v>369</v>
      </c>
      <c r="C58" s="31" t="s">
        <v>370</v>
      </c>
      <c r="D58" s="11" t="s">
        <v>371</v>
      </c>
      <c r="E58" s="31" t="s">
        <v>249</v>
      </c>
    </row>
    <row r="59" spans="2:5">
      <c r="B59" s="4" t="s">
        <v>372</v>
      </c>
      <c r="C59" s="31" t="s">
        <v>373</v>
      </c>
      <c r="D59" s="11" t="s">
        <v>374</v>
      </c>
      <c r="E59" s="31" t="s">
        <v>249</v>
      </c>
    </row>
    <row r="60" spans="2:5">
      <c r="B60" s="4" t="s">
        <v>375</v>
      </c>
      <c r="C60" s="31" t="s">
        <v>376</v>
      </c>
      <c r="D60" s="11" t="s">
        <v>377</v>
      </c>
      <c r="E60" s="31" t="s">
        <v>249</v>
      </c>
    </row>
    <row r="61" spans="2:5">
      <c r="B61" s="4" t="s">
        <v>378</v>
      </c>
      <c r="C61" s="31" t="s">
        <v>379</v>
      </c>
      <c r="D61" s="11" t="s">
        <v>380</v>
      </c>
      <c r="E61" s="31" t="s">
        <v>249</v>
      </c>
    </row>
    <row r="62" spans="2:5">
      <c r="B62" s="4" t="s">
        <v>381</v>
      </c>
      <c r="C62" s="31" t="s">
        <v>382</v>
      </c>
      <c r="D62" s="11" t="s">
        <v>383</v>
      </c>
      <c r="E62" s="31" t="s">
        <v>249</v>
      </c>
    </row>
    <row r="63" spans="2:5">
      <c r="B63" s="4" t="s">
        <v>384</v>
      </c>
      <c r="C63" s="31" t="s">
        <v>385</v>
      </c>
      <c r="D63" s="11" t="s">
        <v>386</v>
      </c>
      <c r="E63" s="31" t="s">
        <v>249</v>
      </c>
    </row>
    <row r="64" spans="2:5">
      <c r="B64" s="4" t="s">
        <v>387</v>
      </c>
      <c r="C64" s="31" t="s">
        <v>388</v>
      </c>
      <c r="D64" s="11" t="s">
        <v>389</v>
      </c>
      <c r="E64" s="31" t="s">
        <v>249</v>
      </c>
    </row>
    <row r="65" spans="2:5">
      <c r="B65" s="4" t="s">
        <v>390</v>
      </c>
      <c r="C65" s="31" t="s">
        <v>391</v>
      </c>
      <c r="D65" s="11" t="s">
        <v>392</v>
      </c>
      <c r="E65" s="31" t="s">
        <v>249</v>
      </c>
    </row>
    <row r="68" spans="2:5">
      <c r="B68" s="6" t="s">
        <v>393</v>
      </c>
      <c r="C68" s="6"/>
      <c r="D68" s="6"/>
      <c r="E68" s="6"/>
    </row>
  </sheetData>
  <mergeCells count="7">
    <mergeCell ref="B2:E2"/>
    <mergeCell ref="B3:E3"/>
    <mergeCell ref="B10:E10"/>
    <mergeCell ref="B27:E27"/>
    <mergeCell ref="B44:E44"/>
    <mergeCell ref="B55:E55"/>
    <mergeCell ref="B68:E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Portfolio</vt:lpstr>
      <vt:lpstr>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2026-02-13T20:59:03Z</dcterms:created>
  <dcterms:modified xsi:type="dcterms:W3CDTF">2026-02-13T20:59:03Z</dcterms:modified>
</cp:coreProperties>
</file>