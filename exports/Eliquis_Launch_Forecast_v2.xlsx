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Originator Forecast" sheetId="3" r:id="rId3"/>
    <sheet name="Generika 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<sst xmlns="http://schemas.openxmlformats.org/spreadsheetml/2006/main" count="531" uniqueCount="403">
  <si>
    <t>Eliquis (Apixaban) - Launch Forecast Modell</t>
  </si>
  <si>
    <t>Eingabe-Parameter (gelbe Zellen sind editierbar)</t>
  </si>
  <si>
    <t>1. MARKTDEFINITION</t>
  </si>
  <si>
    <t>Markt</t>
  </si>
  <si>
    <t>Orale Antikoagulantien (NOAK/DOAK)</t>
  </si>
  <si>
    <t>Therapiegebiet / ATC-Klasse</t>
  </si>
  <si>
    <t>Geographie</t>
  </si>
  <si>
    <t>Deutschland</t>
  </si>
  <si>
    <t>Zielmarkt</t>
  </si>
  <si>
    <t>LOE-Datum (Patentablauf)</t>
  </si>
  <si>
    <t>Mai 2026</t>
  </si>
  <si>
    <t>Loss of Exclusivity Eliquis</t>
  </si>
  <si>
    <t>Gesamtmarkt TRx/Monat</t>
  </si>
  <si>
    <t>Monatliche Verordnungen im NOAK-Segment</t>
  </si>
  <si>
    <t>Gesamtmarkt Umsatz/Monat (EUR)</t>
  </si>
  <si>
    <t>Monatlicher Marktumsatz</t>
  </si>
  <si>
    <t>Jahrl. Marktwachstum</t>
  </si>
  <si>
    <t>Organisches Wachstum des NOAK-Segments</t>
  </si>
  <si>
    <t>Forecast-Horizont (Monate)</t>
  </si>
  <si>
    <t>Anzahl Monate nach LOE</t>
  </si>
  <si>
    <t>2. ORIGINATOR-PARAMETER (Revenue at Risk)</t>
  </si>
  <si>
    <t>Originator</t>
  </si>
  <si>
    <t>Eliquis (BMS / Pfizer)</t>
  </si>
  <si>
    <t>Produktname &amp; Hersteller</t>
  </si>
  <si>
    <t>Aktueller Marktanteil (TRx)</t>
  </si>
  <si>
    <t>Marktanteil vor LOE</t>
  </si>
  <si>
    <t>Aktueller Preis/TRx (EUR)</t>
  </si>
  <si>
    <t>Monatliche Therapiekosten</t>
  </si>
  <si>
    <t>Preis-Reduktion nach LOE</t>
  </si>
  <si>
    <t>Erwartete Preissenkung durch Originator</t>
  </si>
  <si>
    <t>Erosions-Geschwindigkeit</t>
  </si>
  <si>
    <t>1.0=Normal, &gt;1=schneller, &lt;1=langsamer</t>
  </si>
  <si>
    <t>Boden-Marktanteil</t>
  </si>
  <si>
    <t>Minimaler Anteil (Markentreue, Arzt-Praeferenz)</t>
  </si>
  <si>
    <t>Monate bis Boden</t>
  </si>
  <si>
    <t>Monate bis Erosion Plateau erreicht</t>
  </si>
  <si>
    <t>Authorized Generic Strategie</t>
  </si>
  <si>
    <t>Authorized Generic launchen?</t>
  </si>
  <si>
    <t>NEIN</t>
  </si>
  <si>
    <t>JA oder NEIN - Eigenes Generikum unter Zweitmarke?</t>
  </si>
  <si>
    <t>AG Anteil am Generika-Segment</t>
  </si>
  <si>
    <t>Anteil der Generika-Verordnungen fuer AG</t>
  </si>
  <si>
    <t>AG Preis-Discount vs. Originator</t>
  </si>
  <si>
    <t>Preisabschlag des AG</t>
  </si>
  <si>
    <t>3. GENERIKA-PARAMETER (Market Opportunity)</t>
  </si>
  <si>
    <t>Firmenname</t>
  </si>
  <si>
    <t>Mein Unternehmen</t>
  </si>
  <si>
    <t>Name des Generika-Anbieters</t>
  </si>
  <si>
    <t>Produktname</t>
  </si>
  <si>
    <t>Apixaban [Firma]</t>
  </si>
  <si>
    <t>Name des Generikums</t>
  </si>
  <si>
    <t>Launch-Zeitpunkt (Monate nach LOE)</t>
  </si>
  <si>
    <t>0 = Day-1 Launch</t>
  </si>
  <si>
    <t>Preis-Discount vs. Originator</t>
  </si>
  <si>
    <t>Preisabschlag zum Originator-Preis</t>
  </si>
  <si>
    <t>Ziel Peak-Marktanteil (Gesamtmarkt)</t>
  </si>
  <si>
    <t>Angestrebter Anteil am gesamten NOAK-Markt</t>
  </si>
  <si>
    <t>Monate bis Peak Share</t>
  </si>
  <si>
    <t>Monate bis Ziel-Marktanteil erreicht</t>
  </si>
  <si>
    <t>4. AUT-IDEM / SUBSTITUTION</t>
  </si>
  <si>
    <t>Aut idem = Apotheke darf/muss wirkstoffgleiches Generikum abgeben (SGB V Par.129)</t>
  </si>
  <si>
    <t>Aut-idem aktiv?</t>
  </si>
  <si>
    <t>JA</t>
  </si>
  <si>
    <t>JA oder NEIN - Wird Festbetragsgruppe gebildet?</t>
  </si>
  <si>
    <t>Anlaufzeit Festbetrag (Monate nach LOE)</t>
  </si>
  <si>
    <t>G-BA Festbetragsentscheid dauert ca. 3-6 Monate</t>
  </si>
  <si>
    <t>Volle Aut-idem-Quote nach (Monate)</t>
  </si>
  <si>
    <t>Monate bis Apotheken voll substituieren</t>
  </si>
  <si>
    <t>Peak Aut-idem-Quote</t>
  </si>
  <si>
    <t>Max. Anteil der Rx, die substituiert werden</t>
  </si>
  <si>
    <t>Mein Anteil an Aut-idem-Substitutionen</t>
  </si>
  <si>
    <t>Welchen Anteil der Substitutionen bekomme ich?</t>
  </si>
  <si>
    <t>Aut-idem Wirkungskette</t>
  </si>
  <si>
    <t>1. LOE: Patent laeuft ab, Generika kommen auf den Markt</t>
  </si>
  <si>
    <t>2. G-BA bildet Festbetragsgruppe (Dauer: 3-6 Monate nach LOE)</t>
  </si>
  <si>
    <t>3. Festbetrag wird festgesetzt -&gt; Originator-Preis ggf. ueber Festbetrag</t>
  </si>
  <si>
    <t>4. Apotheke MUSS guenstigstes Generikum abgeben (SGB V Par.129)</t>
  </si>
  <si>
    <t>5. Arzt kann aut-idem-Substitution ausschliessen (Kreuz auf Rezept)</t>
  </si>
  <si>
    <t>6. Patient erhaelt Generikum, es sei denn Arzt hat es ausgeschlossen</t>
  </si>
  <si>
    <t>5. RABATTVERTRAEGE &amp; TENDER</t>
  </si>
  <si>
    <t>Rabattvertraege anstreben?</t>
  </si>
  <si>
    <t>JA oder NEIN</t>
  </si>
  <si>
    <t>Anlaufzeit Tender (Monate nach Launch)</t>
  </si>
  <si>
    <t>Bis erste Ausschreibung gewonnen</t>
  </si>
  <si>
    <t>Tender-Vertragslaufzeit (Monate)</t>
  </si>
  <si>
    <t>Typische Laufzeit Rabattvertrag</t>
  </si>
  <si>
    <t>Ziel-Krankenkassen fuer Rabattvertraege</t>
  </si>
  <si>
    <t>Krankenkasse</t>
  </si>
  <si>
    <t>Versicherte
(Mio.)</t>
  </si>
  <si>
    <t>Marktanteil
GKV</t>
  </si>
  <si>
    <t>Gewinn-
wahrsch.</t>
  </si>
  <si>
    <t>Prioritaet</t>
  </si>
  <si>
    <t>TK (Techniker)</t>
  </si>
  <si>
    <t>Hoch</t>
  </si>
  <si>
    <t>BARMER</t>
  </si>
  <si>
    <t>DAK-Gesundheit</t>
  </si>
  <si>
    <t>AOK Bayern</t>
  </si>
  <si>
    <t>Mittel</t>
  </si>
  <si>
    <t>AOK Baden-Wuerttemberg</t>
  </si>
  <si>
    <t>AOK Nordwest</t>
  </si>
  <si>
    <t>AOK Rheinland/Hamburg</t>
  </si>
  <si>
    <t>IKK classic</t>
  </si>
  <si>
    <t>Nachrangig</t>
  </si>
  <si>
    <t>KKH</t>
  </si>
  <si>
    <t>hkk</t>
  </si>
  <si>
    <t>Rabattvertrag-Mechanik</t>
  </si>
  <si>
    <t>1. Krankenkasse schreibt Wirkstoff aus (Open-House oder Exklusiv)</t>
  </si>
  <si>
    <t>2. Generika-Anbieter geben Angebot ab (Preis pro DDD/Packung)</t>
  </si>
  <si>
    <t>3. Zuschlag: Guenstigster Anbieter gewinnt -&gt; Exklusivvertrag</t>
  </si>
  <si>
    <t>4. Apotheke MUSS Produkt des Vertragpartners abgeben (Par.130a SGB V)</t>
  </si>
  <si>
    <t>5. Volumen-Garantie: Alle Versicherten der Kasse = gesichertes Volumen</t>
  </si>
  <si>
    <t>6. Laufzeit typisch 24 Monate, danach Neuausschreibung</t>
  </si>
  <si>
    <t>6. KOSTEN &amp; PROFITABILITAET (Generika)</t>
  </si>
  <si>
    <t>COGS (% vom Umsatz)</t>
  </si>
  <si>
    <t>Herstellkosten als Anteil am Nettoumsatz</t>
  </si>
  <si>
    <t>Monatl. Vertriebskosten (EUR)</t>
  </si>
  <si>
    <t>Aussendienst, KAM, Marketing</t>
  </si>
  <si>
    <t>Launch-Investition einmalig (EUR)</t>
  </si>
  <si>
    <t>Zulassung, Listings, Launch-Marketing</t>
  </si>
  <si>
    <t>Monatl. Fixkosten (EUR)</t>
  </si>
  <si>
    <t>Regulatory, QA, Overhead-Anteil</t>
  </si>
  <si>
    <t>7. SZENARIO-DEFINITIONEN</t>
  </si>
  <si>
    <t>Parameter</t>
  </si>
  <si>
    <t>Bear Case</t>
  </si>
  <si>
    <t>Base Case</t>
  </si>
  <si>
    <t>Bull Case</t>
  </si>
  <si>
    <t>Originator Preisreduktion</t>
  </si>
  <si>
    <t>Originator Boden-Share</t>
  </si>
  <si>
    <t>Aut-idem Peak-Quote</t>
  </si>
  <si>
    <t>Mein Peak Share</t>
  </si>
  <si>
    <t>Generika-Segment Peak</t>
  </si>
  <si>
    <t>Mein Preis-Discount</t>
  </si>
  <si>
    <t>Marktwachstum p.a.</t>
  </si>
  <si>
    <t>Tender-Gewinnquote (Durchschn.)</t>
  </si>
  <si>
    <t>Mein Aut-idem-Anteil</t>
  </si>
  <si>
    <t>Wettbewerbslandschaft - NOAK/DOAK Deutschland</t>
  </si>
  <si>
    <t>Produkt</t>
  </si>
  <si>
    <t>Hersteller</t>
  </si>
  <si>
    <t>Marktanteil (TRx)</t>
  </si>
  <si>
    <t>Preis/TRx (EUR)</t>
  </si>
  <si>
    <t>Umsatz/Monat (EUR)</t>
  </si>
  <si>
    <t>Patent</t>
  </si>
  <si>
    <t>Eliquis (Apixaban)</t>
  </si>
  <si>
    <t>BMS / Pfizer</t>
  </si>
  <si>
    <t>Xarelto (Rivaroxaban)</t>
  </si>
  <si>
    <t>Bayer</t>
  </si>
  <si>
    <t>Apr 2024</t>
  </si>
  <si>
    <t>Lixiana (Edoxaban)</t>
  </si>
  <si>
    <t>Daiichi Sankyo</t>
  </si>
  <si>
    <t>2031</t>
  </si>
  <si>
    <t>Pradaxa (Dabigatran)</t>
  </si>
  <si>
    <t>Boehringer</t>
  </si>
  <si>
    <t>2025</t>
  </si>
  <si>
    <t>GESAMT</t>
  </si>
  <si>
    <t>Markt-Kontext</t>
  </si>
  <si>
    <t>Indikation</t>
  </si>
  <si>
    <t>Nicht-valvulaeres Vorhofflimmern (NVAF), VTE-Prophylaxe &amp; Therapie</t>
  </si>
  <si>
    <t>Patienten in DE</t>
  </si>
  <si>
    <t>~1.8 Mio. unter NOAK-Therapie</t>
  </si>
  <si>
    <t>Marktdynamik</t>
  </si>
  <si>
    <t>Reifer Markt, Wachstum durch Bevoelkerungsalterung</t>
  </si>
  <si>
    <t>Regulatorik</t>
  </si>
  <si>
    <t>Festbetrag wird nach LOE erwartet (G-BA)</t>
  </si>
  <si>
    <t>Substitution</t>
  </si>
  <si>
    <t>Aut-idem-faehig nach Aufnahme in Festbetragsgruppe</t>
  </si>
  <si>
    <t>Analoga</t>
  </si>
  <si>
    <t>Clopidogrel LOE 2008: ~70% Generika-Share nach 24M</t>
  </si>
  <si>
    <t>Originator Perspektive - Revenue at Risk (Base Case)</t>
  </si>
  <si>
    <t>Umsatz vor LOE (p.a.)</t>
  </si>
  <si>
    <t>Umsatz Jahr 1 nach LOE</t>
  </si>
  <si>
    <t>Revenue at Risk (5J)</t>
  </si>
  <si>
    <t>Rueckgang Jahr 1</t>
  </si>
  <si>
    <t>Monat</t>
  </si>
  <si>
    <t>Monate
nach LOE</t>
  </si>
  <si>
    <t>Gesamt-
markt TRx</t>
  </si>
  <si>
    <t>Originator
TRx</t>
  </si>
  <si>
    <t>Originator
Marktanteil</t>
  </si>
  <si>
    <t>Aut-idem
Quote</t>
  </si>
  <si>
    <t>Preis/TRx
(EUR)</t>
  </si>
  <si>
    <t>Originator
Umsatz (EUR)</t>
  </si>
  <si>
    <t>Generika
Segment TRx</t>
  </si>
  <si>
    <t>Revenue
at Risk (EUR)</t>
  </si>
  <si>
    <t>Kum. Revenue
at Risk (EUR)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</si>
  <si>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</si>
  <si>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</si>
  <si>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</si>
  <si>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</si>
  <si>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</si>
  <si>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</si>
  <si>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</si>
  <si>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</si>
  <si>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</si>
  <si>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</si>
  <si>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</si>
  <si>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</si>
  <si>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</si>
  <si>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</si>
  <si>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</si>
  <si>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</si>
  <si>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</si>
  <si>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</si>
  <si>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</si>
  <si>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</si>
  <si>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</si>
  <si>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</si>
  <si>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</si>
  <si>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</si>
  <si>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</si>
  <si>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</si>
  <si>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</si>
  <si>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</si>
  <si>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</si>
  <si>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</si>
  <si>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</si>
  <si>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</si>
  <si>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</si>
  <si>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</si>
  <si>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</si>
  <si>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</si>
  <si>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</si>
  <si>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</si>
  <si>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</si>
  <si>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</si>
  <si>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</si>
  <si>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</si>
  <si>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</si>
  <si>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</si>
  <si>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</si>
  <si>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</si>
  <si>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</si>
  <si>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</si>
  <si>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</si>
  <si>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</si>
  <si>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</si>
  <si>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</si>
  <si>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</si>
  <si>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</si>
  <si>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</si>
  <si>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</si>
  <si>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</si>
  <si>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</si>
  <si>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</si>
  <si>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</si>
  <si>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</si>
  <si>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</si>
  <si>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</si>
  <si>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</si>
  <si>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</si>
  <si>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</si>
  <si>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</si>
  <si>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</si>
  <si>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</si>
  <si>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</si>
  <si>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</si>
  <si>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</si>
  <si>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Generika Perspektive - Market Opportunity (Base Case)</t>
  </si>
  <si>
    <t>Umsatz Jahr 1</t>
  </si>
  <si>
    <t>Umsatz 5J kumuliert</t>
  </si>
  <si>
    <t>Gewinn 5J kumuliert</t>
  </si>
  <si>
    <t>Peak Marktanteil</t>
  </si>
  <si>
    <t>Break-Even</t>
  </si>
  <si>
    <t>Monat 2</t>
  </si>
  <si>
    <t>Volumen-Dekomposition (5 Jahre)</t>
  </si>
  <si>
    <t>Organisch</t>
  </si>
  <si>
    <t>Aut-idem</t>
  </si>
  <si>
    <t>Tender</t>
  </si>
  <si>
    <t>Organisch
TRx</t>
  </si>
  <si>
    <t>Aut-idem
TRx</t>
  </si>
  <si>
    <t>Tender
TRx</t>
  </si>
  <si>
    <t>Gesamt
TRx</t>
  </si>
  <si>
    <t>Mein
Marktanteil</t>
  </si>
  <si>
    <t>Umsatz
(EUR)</t>
  </si>
  <si>
    <t>COGS
(EUR)</t>
  </si>
  <si>
    <t>Oper. Gewinn
(EUR)</t>
  </si>
  <si>
    <t>Kum. Umsatz
(EUR)</t>
  </si>
  <si>
    <t>Kum. Gewinn
(EUR)</t>
  </si>
  <si>
    <t>Executive Summary - Eliquis Generic Entry 2026</t>
  </si>
  <si>
    <t>Originator-Perspektive - Szenario-Vergleich</t>
  </si>
  <si>
    <t>Originator Umsatz Jahr 1 nach LOE</t>
  </si>
  <si>
    <t>Revenue at Risk (5J kumuliert)</t>
  </si>
  <si>
    <t>Umsatzrueckgang Jahr 1</t>
  </si>
  <si>
    <t>Marktanteil nach 12 Monaten</t>
  </si>
  <si>
    <t>Marktanteil nach 24 Monaten</t>
  </si>
  <si>
    <t>Generika-Perspektive - Szenario-Vergleich</t>
  </si>
  <si>
    <t>Volumen aus Aut-idem (%)</t>
  </si>
  <si>
    <t>Volumen aus Tender (%)</t>
  </si>
  <si>
    <t>Methodik &amp; Transparenz-Matrix</t>
  </si>
  <si>
    <t>Jeder Datenpunkt ist klassifiziert: FAKT / ANNAHME / MODELL / LUECKE</t>
  </si>
  <si>
    <t>Legende:</t>
  </si>
  <si>
    <t>FAKT</t>
  </si>
  <si>
    <t>Aus oeffentlichen Quellen ableitbar</t>
  </si>
  <si>
    <t>ANNAHME</t>
  </si>
  <si>
    <t>Vom User steuerbar (gelbe Zellen im INPUTS-Sheet)</t>
  </si>
  <si>
    <t>MODELL</t>
  </si>
  <si>
    <t>Mathematisches Modell (branchenvalidiert)</t>
  </si>
  <si>
    <t>LUECKE</t>
  </si>
  <si>
    <t>Fuer Produktiveinsatz benoetigt (z.B. IQVIA-Daten)</t>
  </si>
  <si>
    <t>FAKTEN (aus oeffentlichen Quellen)</t>
  </si>
  <si>
    <t>Datenpunkt</t>
  </si>
  <si>
    <t>Wert im Modell</t>
  </si>
  <si>
    <t>Quelle</t>
  </si>
  <si>
    <t>Kategorie</t>
  </si>
  <si>
    <t>Eliquis Patent-Ablauf EU</t>
  </si>
  <si>
    <t>EMA / Patentdatenbanken</t>
  </si>
  <si>
    <t>Gesamtmarkt NOAK DE</t>
  </si>
  <si>
    <t>~4.2M TRx/Monat</t>
  </si>
  <si>
    <t>GKV-Arzneimittelindex</t>
  </si>
  <si>
    <t>Eliquis Marktanteil</t>
  </si>
  <si>
    <t>~42%</t>
  </si>
  <si>
    <t>BMS/Pfizer Earnings, IQVIA Public</t>
  </si>
  <si>
    <t>Eliquis Preis/TRx</t>
  </si>
  <si>
    <t>~EUR 91.50</t>
  </si>
  <si>
    <t>Lauer-Taxe, Festbetragslisten</t>
  </si>
  <si>
    <t>Wettbewerber (Xarelto etc.)</t>
  </si>
  <si>
    <t>Shares &amp; Preise</t>
  </si>
  <si>
    <t>GKV-Reports, Hersteller-Berichte</t>
  </si>
  <si>
    <t>Krankenkassen &amp; Versicherte</t>
  </si>
  <si>
    <t>TK 11.5M, BARMER 8.7M etc.</t>
  </si>
  <si>
    <t>BMG-Statistik, GKV-Spitzenverband</t>
  </si>
  <si>
    <t>Generika-Anbieter</t>
  </si>
  <si>
    <t>Zentiva, Teva, STADA etc.</t>
  </si>
  <si>
    <t>EMA-Zulassungsantraege</t>
  </si>
  <si>
    <t>Aut-idem-Pflicht</t>
  </si>
  <si>
    <t>SGB V Par.129</t>
  </si>
  <si>
    <t>Gesetzestext</t>
  </si>
  <si>
    <t>Par.130a SGB V</t>
  </si>
  <si>
    <t>ANNAHMEN (User-steuerbar)</t>
  </si>
  <si>
    <t>Default-Wert</t>
  </si>
  <si>
    <t>Begruendung</t>
  </si>
  <si>
    <t>1.0</t>
  </si>
  <si>
    <t>Erfahrungswert; &lt;1=langsam, &gt;1=schnell. Abhaengig von Festbetrags-Timing</t>
  </si>
  <si>
    <t>12%</t>
  </si>
  <si>
    <t>Markentreue bei Small Molecules: 10-15% typisch</t>
  </si>
  <si>
    <t>15%</t>
  </si>
  <si>
    <t>Strategische Entscheidung des Originators</t>
  </si>
  <si>
    <t>Peak Marktanteil Generikum</t>
  </si>
  <si>
    <t>10%</t>
  </si>
  <si>
    <t>Abhaengig von Vertrieb, Tender, Timing</t>
  </si>
  <si>
    <t>Monate bis Peak</t>
  </si>
  <si>
    <t>18</t>
  </si>
  <si>
    <t>S-Kurven-Annahme, historisch validierbar</t>
  </si>
  <si>
    <t>Preis-Discount</t>
  </si>
  <si>
    <t>45%</t>
  </si>
  <si>
    <t>Marktueblich DE: 30-60% fuer Generika</t>
  </si>
  <si>
    <t>75%</t>
  </si>
  <si>
    <t>Abhaengig von Arzt-Akzeptanz und Festbetrag</t>
  </si>
  <si>
    <t>Aut-idem Anlaufzeit</t>
  </si>
  <si>
    <t>6 Monate</t>
  </si>
  <si>
    <t>G-BA braucht 3-6 Monate fuer Festbetragsgruppe</t>
  </si>
  <si>
    <t>Tender-Gewinnwahrsch.</t>
  </si>
  <si>
    <t>20-60%</t>
  </si>
  <si>
    <t>Pro Kasse individuell, abhaengig von Preisaggression</t>
  </si>
  <si>
    <t>COGS</t>
  </si>
  <si>
    <t>25%</t>
  </si>
  <si>
    <t>Branchenueblich Small Molecule Generika</t>
  </si>
  <si>
    <t>SG&amp;A</t>
  </si>
  <si>
    <t>EUR 150K/Monat</t>
  </si>
  <si>
    <t>Firmenspezifisch</t>
  </si>
  <si>
    <t>MATHEMATISCHE MODELLE</t>
  </si>
  <si>
    <t>Modell</t>
  </si>
  <si>
    <t>Formel / Logik</t>
  </si>
  <si>
    <t>Validierung / Referenz</t>
  </si>
  <si>
    <t>Originator-Erosion</t>
  </si>
  <si>
    <t>Exponentieller Decay: Share(t) = Floor + (Init-Floor) * e^(-k*t*speed)</t>
  </si>
  <si>
    <t>Standard im Pharma-Forecasting; validiert durch Clopidogrel, Atorvastatin LOEs</t>
  </si>
  <si>
    <t>Generika-Uptake</t>
  </si>
  <si>
    <t>Logistische S-Kurve: 1 / (1 + e^(-s*(t-m)))</t>
  </si>
  <si>
    <t>Rogers Adoption Curve; Standard bei Launch-Forecasts</t>
  </si>
  <si>
    <t>Aut-idem-Kurve</t>
  </si>
  <si>
    <t>Linear Ramp: 0 -&gt; Peak ueber [ramp, full] Monate</t>
  </si>
  <si>
    <t>Abgeleitet aus G-BA Festbetrags-Timing + Apotheken-Substitutionsverhalten</t>
  </si>
  <si>
    <t>Tender-Effekt</t>
  </si>
  <si>
    <t>Erwartungswert: Sum(Kasse_share * Win_prob) * Ramp * Exklusivitaetsfaktor</t>
  </si>
  <si>
    <t>Kein binares Modell; gewichteter Durchschnitt ueber Kassen-Portfolio</t>
  </si>
  <si>
    <t>Preis-Erosion</t>
  </si>
  <si>
    <t>Zusaetzlicher Preisverfall: +0.3%/Monat, Max 15%</t>
  </si>
  <si>
    <t>Beobachteter Trend in reifen Generika-Maerkten</t>
  </si>
  <si>
    <t>LUECKEN (fuer Produktiveinsatz benoetigt)</t>
  </si>
  <si>
    <t>Gap</t>
  </si>
  <si>
    <t>Beschreibung</t>
  </si>
  <si>
    <t>Datenquelle</t>
  </si>
  <si>
    <t>Echte IQVIA-Daten</t>
  </si>
  <si>
    <t>TRx, NRx, DDD auf Monatsebene pro Produkt</t>
  </si>
  <si>
    <t>IQVIA Midas / DPM</t>
  </si>
  <si>
    <t>Festbetrags-Timing</t>
  </si>
  <si>
    <t>Wann genau bildet G-BA die Festbetragsgruppe?</t>
  </si>
  <si>
    <t>G-BA Beschluesse</t>
  </si>
  <si>
    <t>Aut-idem Exclusion</t>
  </si>
  <si>
    <t>Tatsaechliche Arzt-Quote fuer aut-idem-Kreuz</t>
  </si>
  <si>
    <t>IQVIA Rx-Daten</t>
  </si>
  <si>
    <t>Regionale Unterschiede</t>
  </si>
  <si>
    <t>KV-Regionen haben versch. Verordnungsmuster</t>
  </si>
  <si>
    <t>IQVIA Regional</t>
  </si>
  <si>
    <t>Switching-Kosten</t>
  </si>
  <si>
    <t>Antikoagulantien: hoehere Barriere als z.B. PPIs</t>
  </si>
  <si>
    <t>Klinische Literatur</t>
  </si>
  <si>
    <t>Analog-Validierung</t>
  </si>
  <si>
    <t>Historische Erosionskurven als Benchmark</t>
  </si>
  <si>
    <t>IQVIA History</t>
  </si>
  <si>
    <t>Tender-Detaildaten</t>
  </si>
  <si>
    <t>Tatsaechliche Ausschreibungsvolumina pro Kasse</t>
  </si>
  <si>
    <t>GKV-Ausschreibungsportale</t>
  </si>
  <si>
    <t>Hinweis: Alle Daten sind synthetisch und dienen der Illustration. Angelehnt an oeffentlich verfuegbare Marktdaten. Kein Bezug zu vertraulichen IQVIA-Daten.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</si>
</sst>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-0.0%"/>
  </numFmts>
  <fonts count="14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DC2626"/>
      <name val="Calibri"/>
      <family val="2"/>
      <scheme val="minor"/>
    </font>
    <font>
      <b/>
      <sz val="14"/>
      <color rgb="FF166534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/>
      <right/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4" fillId="0" borderId="4" xfId="0" applyFont="1" applyBorder="1"/>
    <xf numFmtId="0" fontId="5" fillId="3" borderId="3" xfId="0" applyFont="1" applyFill="1" applyBorder="1" applyAlignment="1">
      <alignment horizontal="center"/>
    </xf>
    <xf numFmtId="0" fontId="7" fillId="0" borderId="0" xfId="0" applyFont="1" applyAlignment="1">
      <alignment vertical="center" wrapText="1"/>
    </xf>
    <xf numFmtId="0" fontId="8" fillId="4" borderId="5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9" fillId="5" borderId="5" xfId="0" applyFont="1" applyFill="1" applyBorder="1"/>
    <xf numFmtId="167" fontId="10" fillId="5" borderId="5" xfId="0" applyNumberFormat="1" applyFont="1" applyFill="1" applyBorder="1" applyAlignment="1">
      <alignment horizontal="center"/>
    </xf>
    <xf numFmtId="168" fontId="11" fillId="6" borderId="5" xfId="0" applyNumberFormat="1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165" fontId="0" fillId="8" borderId="0" xfId="0" applyNumberFormat="1" applyFill="1"/>
    <xf numFmtId="167" fontId="0" fillId="8" borderId="0" xfId="0" applyNumberFormat="1" applyFill="1"/>
    <xf numFmtId="167" fontId="12" fillId="9" borderId="5" xfId="0" applyNumberFormat="1" applyFont="1" applyFill="1" applyBorder="1" applyAlignment="1">
      <alignment horizontal="center"/>
    </xf>
    <xf numFmtId="165" fontId="12" fillId="9" borderId="5" xfId="0" applyNumberFormat="1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12" borderId="5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Originator Umsatz-Entwicklung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Originator Umsatz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Forecast'!$I$9:$I$80</c:f>
              <c:numCache>
                <c:formatCode>General</c:formatCode>
                <c:ptCount val="72"/>
                <c:pt idx="0">
                  <c:v>161757268.5</c:v>
                </c:pt>
                <c:pt idx="1">
                  <c:v>160473981</c:v>
                </c:pt>
                <c:pt idx="2">
                  <c:v>162812538</c:v>
                </c:pt>
                <c:pt idx="3">
                  <c:v>163304167.5</c:v>
                </c:pt>
                <c:pt idx="4">
                  <c:v>160220343</c:v>
                </c:pt>
                <c:pt idx="5">
                  <c:v>161241666</c:v>
                </c:pt>
                <c:pt idx="6">
                  <c:v>163175610</c:v>
                </c:pt>
                <c:pt idx="7">
                  <c:v>162929566.5</c:v>
                </c:pt>
                <c:pt idx="8">
                  <c:v>163551034.5</c:v>
                </c:pt>
                <c:pt idx="9">
                  <c:v>162844929</c:v>
                </c:pt>
                <c:pt idx="10">
                  <c:v>165147160.5</c:v>
                </c:pt>
                <c:pt idx="11">
                  <c:v>165303168</c:v>
                </c:pt>
                <c:pt idx="12">
                  <c:v>164663857.5</c:v>
                </c:pt>
                <c:pt idx="13">
                  <c:v>143203548.15</c:v>
                </c:pt>
                <c:pt idx="14">
                  <c:v>125211203.17</c:v>
                </c:pt>
                <c:pt idx="15">
                  <c:v>110101876.8</c:v>
                </c:pt>
                <c:pt idx="16">
                  <c:v>97388180.55</c:v>
                </c:pt>
                <c:pt idx="17">
                  <c:v>86664213.56</c:v>
                </c:pt>
                <c:pt idx="18">
                  <c:v>77592073.2</c:v>
                </c:pt>
                <c:pt idx="19">
                  <c:v>70825259.31999999</c:v>
                </c:pt>
                <c:pt idx="20">
                  <c:v>65276401.95</c:v>
                </c:pt>
                <c:pt idx="21">
                  <c:v>60733253.1</c:v>
                </c:pt>
                <c:pt idx="22">
                  <c:v>57019885.72</c:v>
                </c:pt>
                <c:pt idx="23">
                  <c:v>53990627.25</c:v>
                </c:pt>
                <c:pt idx="24">
                  <c:v>51524848.65</c:v>
                </c:pt>
                <c:pt idx="25">
                  <c:v>49963204.42</c:v>
                </c:pt>
                <c:pt idx="26">
                  <c:v>48649273.57</c:v>
                </c:pt>
                <c:pt idx="27">
                  <c:v>47545335.22</c:v>
                </c:pt>
                <c:pt idx="28">
                  <c:v>46619579.4</c:v>
                </c:pt>
                <c:pt idx="29">
                  <c:v>45844940.4</c:v>
                </c:pt>
                <c:pt idx="30">
                  <c:v>45198474.6</c:v>
                </c:pt>
                <c:pt idx="31">
                  <c:v>44660816.02</c:v>
                </c:pt>
                <c:pt idx="32">
                  <c:v>44215320.82</c:v>
                </c:pt>
                <c:pt idx="33">
                  <c:v>43848067.27</c:v>
                </c:pt>
                <c:pt idx="34">
                  <c:v>43547155.8</c:v>
                </c:pt>
                <c:pt idx="35">
                  <c:v>43302553.42</c:v>
                </c:pt>
                <c:pt idx="36">
                  <c:v>43105782.67</c:v>
                </c:pt>
                <c:pt idx="37">
                  <c:v>42949532.7</c:v>
                </c:pt>
                <c:pt idx="38">
                  <c:v>42827659.27</c:v>
                </c:pt>
                <c:pt idx="39">
                  <c:v>42734951.47</c:v>
                </c:pt>
                <c:pt idx="40">
                  <c:v>42666976.12</c:v>
                </c:pt>
                <c:pt idx="41">
                  <c:v>42620077.8</c:v>
                </c:pt>
                <c:pt idx="42">
                  <c:v>42591067.72</c:v>
                </c:pt>
                <c:pt idx="43">
                  <c:v>42577146</c:v>
                </c:pt>
                <c:pt idx="44">
                  <c:v>42576134.92</c:v>
                </c:pt>
                <c:pt idx="45">
                  <c:v>42586012.35</c:v>
                </c:pt>
                <c:pt idx="46">
                  <c:v>42605222.77</c:v>
                </c:pt>
                <c:pt idx="47">
                  <c:v>42632288.47</c:v>
                </c:pt>
                <c:pt idx="48">
                  <c:v>42666120.6</c:v>
                </c:pt>
                <c:pt idx="49">
                  <c:v>42705630.3</c:v>
                </c:pt>
                <c:pt idx="50">
                  <c:v>42750039.82</c:v>
                </c:pt>
                <c:pt idx="51">
                  <c:v>42798571.42</c:v>
                </c:pt>
                <c:pt idx="52">
                  <c:v>42850680.67</c:v>
                </c:pt>
                <c:pt idx="53">
                  <c:v>42905745.37</c:v>
                </c:pt>
                <c:pt idx="54">
                  <c:v>42963376.65</c:v>
                </c:pt>
                <c:pt idx="55">
                  <c:v>43023263.4</c:v>
                </c:pt>
                <c:pt idx="56">
                  <c:v>43084938.97</c:v>
                </c:pt>
                <c:pt idx="57">
                  <c:v>43148325.6</c:v>
                </c:pt>
                <c:pt idx="58">
                  <c:v>43213034.4</c:v>
                </c:pt>
                <c:pt idx="59">
                  <c:v>43278987.6</c:v>
                </c:pt>
                <c:pt idx="60">
                  <c:v>43345951.87</c:v>
                </c:pt>
                <c:pt idx="61">
                  <c:v>43413849.45</c:v>
                </c:pt>
                <c:pt idx="62">
                  <c:v>43482524.77</c:v>
                </c:pt>
                <c:pt idx="63">
                  <c:v>43551822.3</c:v>
                </c:pt>
                <c:pt idx="64">
                  <c:v>43621742.02</c:v>
                </c:pt>
                <c:pt idx="65">
                  <c:v>43692206.17</c:v>
                </c:pt>
                <c:pt idx="66">
                  <c:v>43763059.2</c:v>
                </c:pt>
                <c:pt idx="67">
                  <c:v>43834378.87</c:v>
                </c:pt>
                <c:pt idx="68">
                  <c:v>43906087.42</c:v>
                </c:pt>
                <c:pt idx="69">
                  <c:v>43978107.07</c:v>
                </c:pt>
                <c:pt idx="70">
                  <c:v>44050360.05</c:v>
                </c:pt>
                <c:pt idx="71">
                  <c:v>44123001.9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,K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Marktanteil &amp; Aut-idem-Quote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Originator Marktanteil</c:v>
          </c:tx>
          <c:spPr>
            <a:ln w="31750">
              <a:solidFill>
                <a:srgbClr val="DC2626"/>
              </a:solidFill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Forecast'!$F$9:$F$80</c:f>
              <c:numCache>
                <c:formatCode>General</c:formatCode>
                <c:ptCount val="72"/>
                <c:pt idx="0">
                  <c:v>0.4209</c:v>
                </c:pt>
                <c:pt idx="1">
                  <c:v>0.4169</c:v>
                </c:pt>
                <c:pt idx="2">
                  <c:v>0.4223</c:v>
                </c:pt>
                <c:pt idx="3">
                  <c:v>0.4228</c:v>
                </c:pt>
                <c:pt idx="4">
                  <c:v>0.4141</c:v>
                </c:pt>
                <c:pt idx="5">
                  <c:v>0.4161</c:v>
                </c:pt>
                <c:pt idx="6">
                  <c:v>0.4204</c:v>
                </c:pt>
                <c:pt idx="7">
                  <c:v>0.4191</c:v>
                </c:pt>
                <c:pt idx="8">
                  <c:v>0.4199</c:v>
                </c:pt>
                <c:pt idx="9">
                  <c:v>0.4174</c:v>
                </c:pt>
                <c:pt idx="10">
                  <c:v>0.4226</c:v>
                </c:pt>
                <c:pt idx="11">
                  <c:v>0.4223</c:v>
                </c:pt>
                <c:pt idx="12">
                  <c:v>0.42</c:v>
                </c:pt>
                <c:pt idx="13">
                  <c:v>0.374</c:v>
                </c:pt>
                <c:pt idx="14">
                  <c:v>0.3351</c:v>
                </c:pt>
                <c:pt idx="15">
                  <c:v>0.3021</c:v>
                </c:pt>
                <c:pt idx="16">
                  <c:v>0.2742</c:v>
                </c:pt>
                <c:pt idx="17">
                  <c:v>0.2505</c:v>
                </c:pt>
                <c:pt idx="18">
                  <c:v>0.2305</c:v>
                </c:pt>
                <c:pt idx="19">
                  <c:v>0.2101</c:v>
                </c:pt>
                <c:pt idx="20">
                  <c:v>0.1933</c:v>
                </c:pt>
                <c:pt idx="21">
                  <c:v>0.1795</c:v>
                </c:pt>
                <c:pt idx="22">
                  <c:v>0.1683</c:v>
                </c:pt>
                <c:pt idx="23">
                  <c:v>0.1591</c:v>
                </c:pt>
                <c:pt idx="24">
                  <c:v>0.1516</c:v>
                </c:pt>
                <c:pt idx="25">
                  <c:v>0.1467</c:v>
                </c:pt>
                <c:pt idx="26">
                  <c:v>0.1426</c:v>
                </c:pt>
                <c:pt idx="27">
                  <c:v>0.1392</c:v>
                </c:pt>
                <c:pt idx="28">
                  <c:v>0.1362</c:v>
                </c:pt>
                <c:pt idx="29">
                  <c:v>0.1337</c:v>
                </c:pt>
                <c:pt idx="30">
                  <c:v>0.1316</c:v>
                </c:pt>
                <c:pt idx="31">
                  <c:v>0.1298</c:v>
                </c:pt>
                <c:pt idx="32">
                  <c:v>0.1283</c:v>
                </c:pt>
                <c:pt idx="33">
                  <c:v>0.1271</c:v>
                </c:pt>
                <c:pt idx="34">
                  <c:v>0.126</c:v>
                </c:pt>
                <c:pt idx="35">
                  <c:v>0.1251</c:v>
                </c:pt>
                <c:pt idx="36">
                  <c:v>0.1243</c:v>
                </c:pt>
                <c:pt idx="37">
                  <c:v>0.1236</c:v>
                </c:pt>
                <c:pt idx="38">
                  <c:v>0.1231</c:v>
                </c:pt>
                <c:pt idx="39">
                  <c:v>0.1226</c:v>
                </c:pt>
                <c:pt idx="40">
                  <c:v>0.1222</c:v>
                </c:pt>
                <c:pt idx="41">
                  <c:v>0.1219</c:v>
                </c:pt>
                <c:pt idx="42">
                  <c:v>0.1216</c:v>
                </c:pt>
                <c:pt idx="43">
                  <c:v>0.1213</c:v>
                </c:pt>
                <c:pt idx="44">
                  <c:v>0.1211</c:v>
                </c:pt>
                <c:pt idx="45">
                  <c:v>0.121</c:v>
                </c:pt>
                <c:pt idx="46">
                  <c:v>0.1208</c:v>
                </c:pt>
                <c:pt idx="47">
                  <c:v>0.1207</c:v>
                </c:pt>
                <c:pt idx="48">
                  <c:v>0.1206</c:v>
                </c:pt>
                <c:pt idx="49">
                  <c:v>0.1205</c:v>
                </c:pt>
                <c:pt idx="50">
                  <c:v>0.1204</c:v>
                </c:pt>
                <c:pt idx="51">
                  <c:v>0.1204</c:v>
                </c:pt>
                <c:pt idx="52">
                  <c:v>0.1203</c:v>
                </c:pt>
                <c:pt idx="53">
                  <c:v>0.1203</c:v>
                </c:pt>
                <c:pt idx="54">
                  <c:v>0.1202</c:v>
                </c:pt>
                <c:pt idx="55">
                  <c:v>0.1202</c:v>
                </c:pt>
                <c:pt idx="56">
                  <c:v>0.1202</c:v>
                </c:pt>
                <c:pt idx="57">
                  <c:v>0.1201</c:v>
                </c:pt>
                <c:pt idx="58">
                  <c:v>0.1201</c:v>
                </c:pt>
                <c:pt idx="59">
                  <c:v>0.1201</c:v>
                </c:pt>
                <c:pt idx="60">
                  <c:v>0.1201</c:v>
                </c:pt>
                <c:pt idx="61">
                  <c:v>0.1201</c:v>
                </c:pt>
                <c:pt idx="62">
                  <c:v>0.1201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</c:v>
                </c:pt>
                <c:pt idx="67">
                  <c:v>0.12</c:v>
                </c:pt>
                <c:pt idx="68">
                  <c:v>0.12</c:v>
                </c:pt>
                <c:pt idx="69">
                  <c:v>0.12</c:v>
                </c:pt>
                <c:pt idx="70">
                  <c:v>0.12</c:v>
                </c:pt>
                <c:pt idx="71">
                  <c:v>0.12</c:v>
                </c:pt>
              </c:numCache>
            </c:numRef>
          </c:val>
        </c:ser>
        <c:ser>
          <c:idx val="1"/>
          <c:order val="1"/>
          <c:tx>
            <c:v>Aut-idem Quote</c:v>
          </c:tx>
          <c:spPr>
            <a:ln w="25400"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Forecast'!$G$9:$G$80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0.125</c:v>
                </c:pt>
                <c:pt idx="20">
                  <c:v>0.25</c:v>
                </c:pt>
                <c:pt idx="21">
                  <c:v>0.375</c:v>
                </c:pt>
                <c:pt idx="22">
                  <c:v>0.5</c:v>
                </c:pt>
                <c:pt idx="23">
                  <c:v>0.625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Anteil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Kumulativer Revenue at Risk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Kum. Revenue at Risk</c:v>
          </c:tx>
          <c:spPr>
            <a:solidFill>
              <a:srgbClr val="FCA5A5"/>
            </a:solidFill>
            <a:ln w="19050">
              <a:solidFill>
                <a:srgbClr val="DC2626"/>
              </a:solidFill>
            </a:ln>
          </c:spPr>
          <c:cat>
            <c:strRef>
              <c:f>'Originator Forecast'!$B$9:$B$80</c:f>
              <c:strCache>
                <c:ptCount val="72"/>
                <c:pt idx="0">
                  <c:v>2025-05</c:v>
                </c:pt>
                <c:pt idx="1">
                  <c:v>2025-06</c:v>
                </c:pt>
                <c:pt idx="2">
                  <c:v>2025-07</c:v>
                </c:pt>
                <c:pt idx="3">
                  <c:v>2025-08</c:v>
                </c:pt>
                <c:pt idx="4">
                  <c:v>2025-09</c:v>
                </c:pt>
                <c:pt idx="5">
                  <c:v>2025-10</c:v>
                </c:pt>
                <c:pt idx="6">
                  <c:v>2025-11</c:v>
                </c:pt>
                <c:pt idx="7">
                  <c:v>2025-12</c:v>
                </c:pt>
                <c:pt idx="8">
                  <c:v>2026-01</c:v>
                </c:pt>
                <c:pt idx="9">
                  <c:v>2026-02</c:v>
                </c:pt>
                <c:pt idx="10">
                  <c:v>2026-03</c:v>
                </c:pt>
                <c:pt idx="11">
                  <c:v>2026-04</c:v>
                </c:pt>
                <c:pt idx="12">
                  <c:v>2026-05</c:v>
                </c:pt>
                <c:pt idx="13">
                  <c:v>2026-06</c:v>
                </c:pt>
                <c:pt idx="14">
                  <c:v>2026-07</c:v>
                </c:pt>
                <c:pt idx="15">
                  <c:v>2026-08</c:v>
                </c:pt>
                <c:pt idx="16">
                  <c:v>2026-09</c:v>
                </c:pt>
                <c:pt idx="17">
                  <c:v>2026-10</c:v>
                </c:pt>
                <c:pt idx="18">
                  <c:v>2026-11</c:v>
                </c:pt>
                <c:pt idx="19">
                  <c:v>2026-12</c:v>
                </c:pt>
                <c:pt idx="20">
                  <c:v>2027-01</c:v>
                </c:pt>
                <c:pt idx="21">
                  <c:v>2027-02</c:v>
                </c:pt>
                <c:pt idx="22">
                  <c:v>2027-03</c:v>
                </c:pt>
                <c:pt idx="23">
                  <c:v>2027-04</c:v>
                </c:pt>
                <c:pt idx="24">
                  <c:v>2027-05</c:v>
                </c:pt>
                <c:pt idx="25">
                  <c:v>2027-06</c:v>
                </c:pt>
                <c:pt idx="26">
                  <c:v>2027-07</c:v>
                </c:pt>
                <c:pt idx="27">
                  <c:v>2027-08</c:v>
                </c:pt>
                <c:pt idx="28">
                  <c:v>2027-09</c:v>
                </c:pt>
                <c:pt idx="29">
                  <c:v>2027-10</c:v>
                </c:pt>
                <c:pt idx="30">
                  <c:v>2027-11</c:v>
                </c:pt>
                <c:pt idx="31">
                  <c:v>2027-12</c:v>
                </c:pt>
                <c:pt idx="32">
                  <c:v>2028-01</c:v>
                </c:pt>
                <c:pt idx="33">
                  <c:v>2028-02</c:v>
                </c:pt>
                <c:pt idx="34">
                  <c:v>2028-03</c:v>
                </c:pt>
                <c:pt idx="35">
                  <c:v>2028-04</c:v>
                </c:pt>
                <c:pt idx="36">
                  <c:v>2028-05</c:v>
                </c:pt>
                <c:pt idx="37">
                  <c:v>2028-06</c:v>
                </c:pt>
                <c:pt idx="38">
                  <c:v>2028-07</c:v>
                </c:pt>
                <c:pt idx="39">
                  <c:v>2028-08</c:v>
                </c:pt>
                <c:pt idx="40">
                  <c:v>2028-09</c:v>
                </c:pt>
                <c:pt idx="41">
                  <c:v>2028-10</c:v>
                </c:pt>
                <c:pt idx="42">
                  <c:v>2028-11</c:v>
                </c:pt>
                <c:pt idx="43">
                  <c:v>2028-12</c:v>
                </c:pt>
                <c:pt idx="44">
                  <c:v>2029-01</c:v>
                </c:pt>
                <c:pt idx="45">
                  <c:v>2029-02</c:v>
                </c:pt>
                <c:pt idx="46">
                  <c:v>2029-03</c:v>
                </c:pt>
                <c:pt idx="47">
                  <c:v>2029-04</c:v>
                </c:pt>
                <c:pt idx="48">
                  <c:v>2029-05</c:v>
                </c:pt>
                <c:pt idx="49">
                  <c:v>2029-06</c:v>
                </c:pt>
                <c:pt idx="50">
                  <c:v>2029-07</c:v>
                </c:pt>
                <c:pt idx="51">
                  <c:v>2029-08</c:v>
                </c:pt>
                <c:pt idx="52">
                  <c:v>2029-09</c:v>
                </c:pt>
                <c:pt idx="53">
                  <c:v>2029-10</c:v>
                </c:pt>
                <c:pt idx="54">
                  <c:v>2029-11</c:v>
                </c:pt>
                <c:pt idx="55">
                  <c:v>2029-12</c:v>
                </c:pt>
                <c:pt idx="56">
                  <c:v>2030-01</c:v>
                </c:pt>
                <c:pt idx="57">
                  <c:v>2030-02</c:v>
                </c:pt>
                <c:pt idx="58">
                  <c:v>2030-03</c:v>
                </c:pt>
                <c:pt idx="59">
                  <c:v>2030-04</c:v>
                </c:pt>
                <c:pt idx="60">
                  <c:v>2030-05</c:v>
                </c:pt>
                <c:pt idx="61">
                  <c:v>2030-06</c:v>
                </c:pt>
                <c:pt idx="62">
                  <c:v>2030-07</c:v>
                </c:pt>
                <c:pt idx="63">
                  <c:v>2030-08</c:v>
                </c:pt>
                <c:pt idx="64">
                  <c:v>2030-09</c:v>
                </c:pt>
                <c:pt idx="65">
                  <c:v>2030-10</c:v>
                </c:pt>
                <c:pt idx="66">
                  <c:v>2030-11</c:v>
                </c:pt>
                <c:pt idx="67">
                  <c:v>2030-12</c:v>
                </c:pt>
                <c:pt idx="68">
                  <c:v>2031-01</c:v>
                </c:pt>
                <c:pt idx="69">
                  <c:v>2031-02</c:v>
                </c:pt>
                <c:pt idx="70">
                  <c:v>2031-03</c:v>
                </c:pt>
                <c:pt idx="71">
                  <c:v>2031-04</c:v>
                </c:pt>
              </c:strCache>
            </c:strRef>
          </c:cat>
          <c:val>
            <c:numRef>
              <c:f>'Originator Forecast'!$L$9:$L$80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21734717.85</c:v>
                </c:pt>
                <c:pt idx="14">
                  <c:v>61736646.68</c:v>
                </c:pt>
                <c:pt idx="15">
                  <c:v>117123316.88</c:v>
                </c:pt>
                <c:pt idx="16">
                  <c:v>185499464.33</c:v>
                </c:pt>
                <c:pt idx="17">
                  <c:v>264875817.27</c:v>
                </c:pt>
                <c:pt idx="18">
                  <c:v>353601098.07</c:v>
                </c:pt>
                <c:pt idx="19">
                  <c:v>449370346.25</c:v>
                </c:pt>
                <c:pt idx="20">
                  <c:v>550966154.3</c:v>
                </c:pt>
                <c:pt idx="21">
                  <c:v>657383179.6999999</c:v>
                </c:pt>
                <c:pt idx="22">
                  <c:v>767792189.9799999</c:v>
                </c:pt>
                <c:pt idx="23">
                  <c:v>881509533.7299999</c:v>
                </c:pt>
                <c:pt idx="24">
                  <c:v>997972188.5799999</c:v>
                </c:pt>
                <c:pt idx="25">
                  <c:v>1116276386.16</c:v>
                </c:pt>
                <c:pt idx="26">
                  <c:v>1236174962.09</c:v>
                </c:pt>
                <c:pt idx="27">
                  <c:v>1357458472.87</c:v>
                </c:pt>
                <c:pt idx="28">
                  <c:v>1479949101.97</c:v>
                </c:pt>
                <c:pt idx="29">
                  <c:v>1603496190.07</c:v>
                </c:pt>
                <c:pt idx="30">
                  <c:v>1727972112.97</c:v>
                </c:pt>
                <c:pt idx="31">
                  <c:v>1853268429.44</c:v>
                </c:pt>
                <c:pt idx="32">
                  <c:v>1979293525.12</c:v>
                </c:pt>
                <c:pt idx="33">
                  <c:v>2105969615.84</c:v>
                </c:pt>
                <c:pt idx="34">
                  <c:v>2233230817.04</c:v>
                </c:pt>
                <c:pt idx="35">
                  <c:v>2361021277.12</c:v>
                </c:pt>
                <c:pt idx="36">
                  <c:v>2489293713.45</c:v>
                </c:pt>
                <c:pt idx="37">
                  <c:v>2618007971.25</c:v>
                </c:pt>
                <c:pt idx="38">
                  <c:v>2747130222.97</c:v>
                </c:pt>
                <c:pt idx="39">
                  <c:v>2876631760.5</c:v>
                </c:pt>
                <c:pt idx="40">
                  <c:v>3006488308.88</c:v>
                </c:pt>
                <c:pt idx="41">
                  <c:v>3136679340.08</c:v>
                </c:pt>
                <c:pt idx="42">
                  <c:v>3267187423.36</c:v>
                </c:pt>
                <c:pt idx="43">
                  <c:v>3397997927.86</c:v>
                </c:pt>
                <c:pt idx="44">
                  <c:v>3529098400.44</c:v>
                </c:pt>
                <c:pt idx="45">
                  <c:v>3660478410.09</c:v>
                </c:pt>
                <c:pt idx="46">
                  <c:v>3792129172.81</c:v>
                </c:pt>
                <c:pt idx="47">
                  <c:v>3924043290.84</c:v>
                </c:pt>
                <c:pt idx="48">
                  <c:v>4056214546.74</c:v>
                </c:pt>
                <c:pt idx="49">
                  <c:v>4188637628.94</c:v>
                </c:pt>
                <c:pt idx="50">
                  <c:v>4321308186.62</c:v>
                </c:pt>
                <c:pt idx="51">
                  <c:v>4454222646.7</c:v>
                </c:pt>
                <c:pt idx="52">
                  <c:v>4587377797.53</c:v>
                </c:pt>
                <c:pt idx="53">
                  <c:v>4720771232.65</c:v>
                </c:pt>
                <c:pt idx="54">
                  <c:v>4854400843</c:v>
                </c:pt>
                <c:pt idx="55">
                  <c:v>4988264922.1</c:v>
                </c:pt>
                <c:pt idx="56">
                  <c:v>5122362138.63</c:v>
                </c:pt>
                <c:pt idx="57">
                  <c:v>5256691239.03</c:v>
                </c:pt>
                <c:pt idx="58">
                  <c:v>5391251450.13</c:v>
                </c:pt>
                <c:pt idx="59">
                  <c:v>5526041985.03</c:v>
                </c:pt>
                <c:pt idx="60">
                  <c:v>5661062381.65</c:v>
                </c:pt>
                <c:pt idx="61">
                  <c:v>5796312164.2</c:v>
                </c:pt>
                <c:pt idx="62">
                  <c:v>5931791012.42</c:v>
                </c:pt>
                <c:pt idx="63">
                  <c:v>6067498853.12</c:v>
                </c:pt>
                <c:pt idx="64">
                  <c:v>6203435521.59</c:v>
                </c:pt>
                <c:pt idx="65">
                  <c:v>6339601022.41</c:v>
                </c:pt>
                <c:pt idx="66">
                  <c:v>6475995424.21</c:v>
                </c:pt>
                <c:pt idx="67">
                  <c:v>6612618717.83</c:v>
                </c:pt>
                <c:pt idx="68">
                  <c:v>6749471063.4</c:v>
                </c:pt>
                <c:pt idx="69">
                  <c:v>6886552698.83</c:v>
                </c:pt>
                <c:pt idx="70">
                  <c:v>7023863848.28</c:v>
                </c:pt>
                <c:pt idx="71">
                  <c:v>7161404580.38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€#,##0,,M" sourceLinked="0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Volumen-Dekomposition: Organisch / Aut-idem / Tender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Organisch</c:v>
          </c:tx>
          <c:spPr>
            <a:solidFill>
              <a:srgbClr val="86EFAC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Forecast'!$E$11:$E$70</c:f>
              <c:numCache>
                <c:formatCode>General</c:formatCode>
                <c:ptCount val="60"/>
                <c:pt idx="0">
                  <c:v>9129</c:v>
                </c:pt>
                <c:pt idx="1">
                  <c:v>12527</c:v>
                </c:pt>
                <c:pt idx="2">
                  <c:v>17073</c:v>
                </c:pt>
                <c:pt idx="3">
                  <c:v>23061</c:v>
                </c:pt>
                <c:pt idx="4">
                  <c:v>30786</c:v>
                </c:pt>
                <c:pt idx="5">
                  <c:v>40492</c:v>
                </c:pt>
                <c:pt idx="6">
                  <c:v>52291</c:v>
                </c:pt>
                <c:pt idx="7">
                  <c:v>66070</c:v>
                </c:pt>
                <c:pt idx="8">
                  <c:v>81432</c:v>
                </c:pt>
                <c:pt idx="9">
                  <c:v>97703</c:v>
                </c:pt>
                <c:pt idx="10">
                  <c:v>114027</c:v>
                </c:pt>
                <c:pt idx="11">
                  <c:v>129547</c:v>
                </c:pt>
                <c:pt idx="12">
                  <c:v>143569</c:v>
                </c:pt>
                <c:pt idx="13">
                  <c:v>155676</c:v>
                </c:pt>
                <c:pt idx="14">
                  <c:v>165736</c:v>
                </c:pt>
                <c:pt idx="15">
                  <c:v>173842</c:v>
                </c:pt>
                <c:pt idx="16">
                  <c:v>180221</c:v>
                </c:pt>
                <c:pt idx="17">
                  <c:v>185161</c:v>
                </c:pt>
                <c:pt idx="18">
                  <c:v>188950</c:v>
                </c:pt>
                <c:pt idx="19">
                  <c:v>191844</c:v>
                </c:pt>
                <c:pt idx="20">
                  <c:v>194058</c:v>
                </c:pt>
                <c:pt idx="21">
                  <c:v>195765</c:v>
                </c:pt>
                <c:pt idx="22">
                  <c:v>197096</c:v>
                </c:pt>
                <c:pt idx="23">
                  <c:v>198152</c:v>
                </c:pt>
                <c:pt idx="24">
                  <c:v>199008</c:v>
                </c:pt>
                <c:pt idx="25">
                  <c:v>199719</c:v>
                </c:pt>
                <c:pt idx="26">
                  <c:v>200324</c:v>
                </c:pt>
                <c:pt idx="27">
                  <c:v>200854</c:v>
                </c:pt>
                <c:pt idx="28">
                  <c:v>201330</c:v>
                </c:pt>
                <c:pt idx="29">
                  <c:v>201767</c:v>
                </c:pt>
                <c:pt idx="30">
                  <c:v>202176</c:v>
                </c:pt>
                <c:pt idx="31">
                  <c:v>202566</c:v>
                </c:pt>
                <c:pt idx="32">
                  <c:v>202941</c:v>
                </c:pt>
                <c:pt idx="33">
                  <c:v>203306</c:v>
                </c:pt>
                <c:pt idx="34">
                  <c:v>203664</c:v>
                </c:pt>
                <c:pt idx="35">
                  <c:v>204018</c:v>
                </c:pt>
                <c:pt idx="36">
                  <c:v>204368</c:v>
                </c:pt>
                <c:pt idx="37">
                  <c:v>204715</c:v>
                </c:pt>
                <c:pt idx="38">
                  <c:v>205062</c:v>
                </c:pt>
                <c:pt idx="39">
                  <c:v>205407</c:v>
                </c:pt>
                <c:pt idx="40">
                  <c:v>205752</c:v>
                </c:pt>
                <c:pt idx="41">
                  <c:v>206097</c:v>
                </c:pt>
                <c:pt idx="42">
                  <c:v>206442</c:v>
                </c:pt>
                <c:pt idx="43">
                  <c:v>206787</c:v>
                </c:pt>
                <c:pt idx="44">
                  <c:v>207132</c:v>
                </c:pt>
                <c:pt idx="45">
                  <c:v>207478</c:v>
                </c:pt>
                <c:pt idx="46">
                  <c:v>207824</c:v>
                </c:pt>
                <c:pt idx="47">
                  <c:v>208171</c:v>
                </c:pt>
                <c:pt idx="48">
                  <c:v>208518</c:v>
                </c:pt>
                <c:pt idx="49">
                  <c:v>208866</c:v>
                </c:pt>
                <c:pt idx="50">
                  <c:v>209214</c:v>
                </c:pt>
                <c:pt idx="51">
                  <c:v>209563</c:v>
                </c:pt>
                <c:pt idx="52">
                  <c:v>209912</c:v>
                </c:pt>
                <c:pt idx="53">
                  <c:v>210262</c:v>
                </c:pt>
                <c:pt idx="54">
                  <c:v>210612</c:v>
                </c:pt>
                <c:pt idx="55">
                  <c:v>210963</c:v>
                </c:pt>
                <c:pt idx="56">
                  <c:v>211315</c:v>
                </c:pt>
                <c:pt idx="57">
                  <c:v>211667</c:v>
                </c:pt>
                <c:pt idx="58">
                  <c:v>212020</c:v>
                </c:pt>
                <c:pt idx="59">
                  <c:v>212373</c:v>
                </c:pt>
              </c:numCache>
            </c:numRef>
          </c:val>
        </c:ser>
        <c:ser>
          <c:idx val="1"/>
          <c:order val="1"/>
          <c:tx>
            <c:v>Aut-idem</c:v>
          </c:tx>
          <c:spPr>
            <a:solidFill>
              <a:srgbClr val="FBBF24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Forecast'!$F$11:$F$70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44221</c:v>
                </c:pt>
                <c:pt idx="8">
                  <c:v>78107</c:v>
                </c:pt>
                <c:pt idx="9">
                  <c:v>100723</c:v>
                </c:pt>
                <c:pt idx="10">
                  <c:v>112306</c:v>
                </c:pt>
                <c:pt idx="11">
                  <c:v>114279</c:v>
                </c:pt>
                <c:pt idx="12">
                  <c:v>121473</c:v>
                </c:pt>
                <c:pt idx="13">
                  <c:v>121675</c:v>
                </c:pt>
                <c:pt idx="14">
                  <c:v>121878</c:v>
                </c:pt>
                <c:pt idx="15">
                  <c:v>122081</c:v>
                </c:pt>
                <c:pt idx="16">
                  <c:v>122285</c:v>
                </c:pt>
                <c:pt idx="17">
                  <c:v>122489</c:v>
                </c:pt>
                <c:pt idx="18">
                  <c:v>122693</c:v>
                </c:pt>
                <c:pt idx="19">
                  <c:v>122897</c:v>
                </c:pt>
                <c:pt idx="20">
                  <c:v>123102</c:v>
                </c:pt>
                <c:pt idx="21">
                  <c:v>123307</c:v>
                </c:pt>
                <c:pt idx="22">
                  <c:v>123513</c:v>
                </c:pt>
                <c:pt idx="23">
                  <c:v>123719</c:v>
                </c:pt>
                <c:pt idx="24">
                  <c:v>123925</c:v>
                </c:pt>
                <c:pt idx="25">
                  <c:v>124131</c:v>
                </c:pt>
                <c:pt idx="26">
                  <c:v>124338</c:v>
                </c:pt>
                <c:pt idx="27">
                  <c:v>124545</c:v>
                </c:pt>
                <c:pt idx="28">
                  <c:v>124753</c:v>
                </c:pt>
                <c:pt idx="29">
                  <c:v>124961</c:v>
                </c:pt>
                <c:pt idx="30">
                  <c:v>125169</c:v>
                </c:pt>
                <c:pt idx="31">
                  <c:v>125378</c:v>
                </c:pt>
                <c:pt idx="32">
                  <c:v>125587</c:v>
                </c:pt>
                <c:pt idx="33">
                  <c:v>125796</c:v>
                </c:pt>
                <c:pt idx="34">
                  <c:v>126006</c:v>
                </c:pt>
                <c:pt idx="35">
                  <c:v>126216</c:v>
                </c:pt>
                <c:pt idx="36">
                  <c:v>126426</c:v>
                </c:pt>
                <c:pt idx="37">
                  <c:v>126637</c:v>
                </c:pt>
                <c:pt idx="38">
                  <c:v>126848</c:v>
                </c:pt>
                <c:pt idx="39">
                  <c:v>127059</c:v>
                </c:pt>
                <c:pt idx="40">
                  <c:v>127271</c:v>
                </c:pt>
                <c:pt idx="41">
                  <c:v>127483</c:v>
                </c:pt>
                <c:pt idx="42">
                  <c:v>127696</c:v>
                </c:pt>
                <c:pt idx="43">
                  <c:v>127908</c:v>
                </c:pt>
                <c:pt idx="44">
                  <c:v>128122</c:v>
                </c:pt>
                <c:pt idx="45">
                  <c:v>128335</c:v>
                </c:pt>
                <c:pt idx="46">
                  <c:v>128549</c:v>
                </c:pt>
                <c:pt idx="47">
                  <c:v>128763</c:v>
                </c:pt>
                <c:pt idx="48">
                  <c:v>128978</c:v>
                </c:pt>
                <c:pt idx="49">
                  <c:v>129193</c:v>
                </c:pt>
                <c:pt idx="50">
                  <c:v>129408</c:v>
                </c:pt>
                <c:pt idx="51">
                  <c:v>129624</c:v>
                </c:pt>
                <c:pt idx="52">
                  <c:v>129840</c:v>
                </c:pt>
                <c:pt idx="53">
                  <c:v>130056</c:v>
                </c:pt>
                <c:pt idx="54">
                  <c:v>130273</c:v>
                </c:pt>
                <c:pt idx="55">
                  <c:v>130490</c:v>
                </c:pt>
                <c:pt idx="56">
                  <c:v>130708</c:v>
                </c:pt>
                <c:pt idx="57">
                  <c:v>130926</c:v>
                </c:pt>
                <c:pt idx="58">
                  <c:v>131144</c:v>
                </c:pt>
                <c:pt idx="59">
                  <c:v>131362</c:v>
                </c:pt>
              </c:numCache>
            </c:numRef>
          </c:val>
        </c:ser>
        <c:ser>
          <c:idx val="2"/>
          <c:order val="2"/>
          <c:tx>
            <c:v>Tender</c:v>
          </c:tx>
          <c:spPr>
            <a:solidFill>
              <a:srgbClr val="60A5FA"/>
            </a:solidFill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Forecast'!$G$11:$G$70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2901</c:v>
                </c:pt>
                <c:pt idx="5">
                  <c:v>7632</c:v>
                </c:pt>
                <c:pt idx="6">
                  <c:v>14785</c:v>
                </c:pt>
                <c:pt idx="7">
                  <c:v>24908</c:v>
                </c:pt>
                <c:pt idx="8">
                  <c:v>38374</c:v>
                </c:pt>
                <c:pt idx="9">
                  <c:v>55251</c:v>
                </c:pt>
                <c:pt idx="10">
                  <c:v>64482</c:v>
                </c:pt>
                <c:pt idx="11">
                  <c:v>73258</c:v>
                </c:pt>
                <c:pt idx="12">
                  <c:v>81188</c:v>
                </c:pt>
                <c:pt idx="13">
                  <c:v>88034</c:v>
                </c:pt>
                <c:pt idx="14">
                  <c:v>93723</c:v>
                </c:pt>
                <c:pt idx="15">
                  <c:v>105630</c:v>
                </c:pt>
                <c:pt idx="16">
                  <c:v>109506</c:v>
                </c:pt>
                <c:pt idx="17">
                  <c:v>112508</c:v>
                </c:pt>
                <c:pt idx="18">
                  <c:v>114810</c:v>
                </c:pt>
                <c:pt idx="19">
                  <c:v>116569</c:v>
                </c:pt>
                <c:pt idx="20">
                  <c:v>117914</c:v>
                </c:pt>
                <c:pt idx="21">
                  <c:v>118951</c:v>
                </c:pt>
                <c:pt idx="22">
                  <c:v>119760</c:v>
                </c:pt>
                <c:pt idx="23">
                  <c:v>120402</c:v>
                </c:pt>
                <c:pt idx="24">
                  <c:v>120922</c:v>
                </c:pt>
                <c:pt idx="25">
                  <c:v>121354</c:v>
                </c:pt>
                <c:pt idx="26">
                  <c:v>121721</c:v>
                </c:pt>
                <c:pt idx="27">
                  <c:v>122043</c:v>
                </c:pt>
                <c:pt idx="28">
                  <c:v>122333</c:v>
                </c:pt>
                <c:pt idx="29">
                  <c:v>122598</c:v>
                </c:pt>
                <c:pt idx="30">
                  <c:v>122847</c:v>
                </c:pt>
                <c:pt idx="31">
                  <c:v>123084</c:v>
                </c:pt>
                <c:pt idx="32">
                  <c:v>123312</c:v>
                </c:pt>
                <c:pt idx="33">
                  <c:v>123533</c:v>
                </c:pt>
                <c:pt idx="34">
                  <c:v>123751</c:v>
                </c:pt>
                <c:pt idx="35">
                  <c:v>123966</c:v>
                </c:pt>
                <c:pt idx="36">
                  <c:v>124179</c:v>
                </c:pt>
                <c:pt idx="37">
                  <c:v>124389</c:v>
                </c:pt>
                <c:pt idx="38">
                  <c:v>124600</c:v>
                </c:pt>
                <c:pt idx="39">
                  <c:v>124810</c:v>
                </c:pt>
                <c:pt idx="40">
                  <c:v>125020</c:v>
                </c:pt>
                <c:pt idx="41">
                  <c:v>125229</c:v>
                </c:pt>
                <c:pt idx="42">
                  <c:v>125439</c:v>
                </c:pt>
                <c:pt idx="43">
                  <c:v>125648</c:v>
                </c:pt>
                <c:pt idx="44">
                  <c:v>125858</c:v>
                </c:pt>
                <c:pt idx="45">
                  <c:v>126068</c:v>
                </c:pt>
                <c:pt idx="46">
                  <c:v>126279</c:v>
                </c:pt>
                <c:pt idx="47">
                  <c:v>126489</c:v>
                </c:pt>
                <c:pt idx="48">
                  <c:v>126700</c:v>
                </c:pt>
                <c:pt idx="49">
                  <c:v>126912</c:v>
                </c:pt>
                <c:pt idx="50">
                  <c:v>127123</c:v>
                </c:pt>
                <c:pt idx="51">
                  <c:v>127335</c:v>
                </c:pt>
                <c:pt idx="52">
                  <c:v>127547</c:v>
                </c:pt>
                <c:pt idx="53">
                  <c:v>127760</c:v>
                </c:pt>
                <c:pt idx="54">
                  <c:v>127973</c:v>
                </c:pt>
                <c:pt idx="55">
                  <c:v>128186</c:v>
                </c:pt>
                <c:pt idx="56">
                  <c:v>128400</c:v>
                </c:pt>
                <c:pt idx="57">
                  <c:v>128614</c:v>
                </c:pt>
                <c:pt idx="58">
                  <c:v>128828</c:v>
                </c:pt>
                <c:pt idx="59">
                  <c:v>129043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TRx</a:t>
                </a:r>
              </a:p>
            </c:rich>
          </c:tx>
          <c:layout/>
        </c:title>
        <c:numFmt formatCode="#,##0" sourceLinked="0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 &amp; Kumulierter Gewinn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Monatl. Umsatz</c:v>
          </c:tx>
          <c:spPr>
            <a:solidFill>
              <a:srgbClr val="86EFAC"/>
            </a:solidFill>
            <a:ln>
              <a:solidFill>
                <a:srgbClr val="16A34A"/>
              </a:solidFill>
            </a:ln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Forecast'!$L$11:$L$70</c:f>
              <c:numCache>
                <c:formatCode>General</c:formatCode>
                <c:ptCount val="60"/>
                <c:pt idx="0">
                  <c:v>459416.93</c:v>
                </c:pt>
                <c:pt idx="1">
                  <c:v>626982.61</c:v>
                </c:pt>
                <c:pt idx="2">
                  <c:v>849825.65</c:v>
                </c:pt>
                <c:pt idx="3">
                  <c:v>1141554.09</c:v>
                </c:pt>
                <c:pt idx="4">
                  <c:v>1658309.95</c:v>
                </c:pt>
                <c:pt idx="5">
                  <c:v>2355790.11</c:v>
                </c:pt>
                <c:pt idx="6">
                  <c:v>3265125.53</c:v>
                </c:pt>
                <c:pt idx="7">
                  <c:v>6544104.8</c:v>
                </c:pt>
                <c:pt idx="8">
                  <c:v>9525354.779999999</c:v>
                </c:pt>
                <c:pt idx="9">
                  <c:v>12139586</c:v>
                </c:pt>
                <c:pt idx="10">
                  <c:v>13836977.7</c:v>
                </c:pt>
                <c:pt idx="11">
                  <c:v>14999817.16</c:v>
                </c:pt>
                <c:pt idx="12">
                  <c:v>16283543.13</c:v>
                </c:pt>
                <c:pt idx="13">
                  <c:v>17084123.75</c:v>
                </c:pt>
                <c:pt idx="14">
                  <c:v>17725306.43</c:v>
                </c:pt>
                <c:pt idx="15">
                  <c:v>18554760.25</c:v>
                </c:pt>
                <c:pt idx="16">
                  <c:v>18924947.2</c:v>
                </c:pt>
                <c:pt idx="17">
                  <c:v>19183784.04</c:v>
                </c:pt>
                <c:pt idx="18">
                  <c:v>19354142.95</c:v>
                </c:pt>
                <c:pt idx="19">
                  <c:v>19456178.45</c:v>
                </c:pt>
                <c:pt idx="20">
                  <c:v>19506542.79</c:v>
                </c:pt>
                <c:pt idx="21">
                  <c:v>19518523.89</c:v>
                </c:pt>
                <c:pt idx="22">
                  <c:v>19502181.53</c:v>
                </c:pt>
                <c:pt idx="23">
                  <c:v>19465098.14</c:v>
                </c:pt>
                <c:pt idx="24">
                  <c:v>19412886.14</c:v>
                </c:pt>
                <c:pt idx="25">
                  <c:v>19349678.85</c:v>
                </c:pt>
                <c:pt idx="26">
                  <c:v>19278389</c:v>
                </c:pt>
                <c:pt idx="27">
                  <c:v>19201302.27</c:v>
                </c:pt>
                <c:pt idx="28">
                  <c:v>19120009.82</c:v>
                </c:pt>
                <c:pt idx="29">
                  <c:v>19035471.33</c:v>
                </c:pt>
                <c:pt idx="30">
                  <c:v>18948581.28</c:v>
                </c:pt>
                <c:pt idx="31">
                  <c:v>18859961.33</c:v>
                </c:pt>
                <c:pt idx="32">
                  <c:v>18769885.44</c:v>
                </c:pt>
                <c:pt idx="33">
                  <c:v>18678662.23</c:v>
                </c:pt>
                <c:pt idx="34">
                  <c:v>18586633.63</c:v>
                </c:pt>
                <c:pt idx="35">
                  <c:v>18493888.5</c:v>
                </c:pt>
                <c:pt idx="36">
                  <c:v>18400473.04</c:v>
                </c:pt>
                <c:pt idx="37">
                  <c:v>18306432.36</c:v>
                </c:pt>
                <c:pt idx="38">
                  <c:v>18212009.94</c:v>
                </c:pt>
                <c:pt idx="39">
                  <c:v>18117046.48</c:v>
                </c:pt>
                <c:pt idx="40">
                  <c:v>18021701.84</c:v>
                </c:pt>
                <c:pt idx="41">
                  <c:v>17925897.03</c:v>
                </c:pt>
                <c:pt idx="42">
                  <c:v>17829749.29</c:v>
                </c:pt>
                <c:pt idx="43">
                  <c:v>17733102.87</c:v>
                </c:pt>
                <c:pt idx="44">
                  <c:v>17636150.66</c:v>
                </c:pt>
                <c:pt idx="45">
                  <c:v>17538776.27</c:v>
                </c:pt>
                <c:pt idx="46">
                  <c:v>17441055.1</c:v>
                </c:pt>
                <c:pt idx="47">
                  <c:v>17342910.64</c:v>
                </c:pt>
                <c:pt idx="48">
                  <c:v>17244417.2</c:v>
                </c:pt>
                <c:pt idx="49">
                  <c:v>17145573.14</c:v>
                </c:pt>
                <c:pt idx="50">
                  <c:v>17046267</c:v>
                </c:pt>
                <c:pt idx="51">
                  <c:v>17074705.2</c:v>
                </c:pt>
                <c:pt idx="52">
                  <c:v>17103143.4</c:v>
                </c:pt>
                <c:pt idx="53">
                  <c:v>17131654.8</c:v>
                </c:pt>
                <c:pt idx="54">
                  <c:v>17160202.8</c:v>
                </c:pt>
                <c:pt idx="55">
                  <c:v>17188787.4</c:v>
                </c:pt>
                <c:pt idx="56">
                  <c:v>17217481.8</c:v>
                </c:pt>
                <c:pt idx="57">
                  <c:v>17246176.2</c:v>
                </c:pt>
                <c:pt idx="58">
                  <c:v>17274907.2</c:v>
                </c:pt>
                <c:pt idx="59">
                  <c:v>17303674.8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Kum. Gewinn</c:v>
          </c:tx>
          <c:spPr>
            <a:ln w="31750">
              <a:solidFill>
                <a:srgbClr val="166534"/>
              </a:solidFill>
            </a:ln>
          </c:spPr>
          <c:marker>
            <c:symbol val="none"/>
          </c:marke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Forecast'!$P$11:$P$70</c:f>
              <c:numCache>
                <c:formatCode>General</c:formatCode>
                <c:ptCount val="60"/>
                <c:pt idx="0">
                  <c:v>-355437.31</c:v>
                </c:pt>
                <c:pt idx="1">
                  <c:v>-85200.35000000001</c:v>
                </c:pt>
                <c:pt idx="2">
                  <c:v>352168.89</c:v>
                </c:pt>
                <c:pt idx="3">
                  <c:v>1008334.46</c:v>
                </c:pt>
                <c:pt idx="4">
                  <c:v>2052066.92</c:v>
                </c:pt>
                <c:pt idx="5">
                  <c:v>3618909.5</c:v>
                </c:pt>
                <c:pt idx="6">
                  <c:v>5867753.65</c:v>
                </c:pt>
                <c:pt idx="7">
                  <c:v>10575832.25</c:v>
                </c:pt>
                <c:pt idx="8">
                  <c:v>17519848.33</c:v>
                </c:pt>
                <c:pt idx="9">
                  <c:v>26424537.83</c:v>
                </c:pt>
                <c:pt idx="10">
                  <c:v>36602271.1</c:v>
                </c:pt>
                <c:pt idx="11">
                  <c:v>47652133.97</c:v>
                </c:pt>
                <c:pt idx="12">
                  <c:v>59664791.32</c:v>
                </c:pt>
                <c:pt idx="13">
                  <c:v>72277884.13</c:v>
                </c:pt>
                <c:pt idx="14">
                  <c:v>85371863.95999999</c:v>
                </c:pt>
                <c:pt idx="15">
                  <c:v>99087934.15000001</c:v>
                </c:pt>
                <c:pt idx="16">
                  <c:v>113081644.54</c:v>
                </c:pt>
                <c:pt idx="17">
                  <c:v>127269482.57</c:v>
                </c:pt>
                <c:pt idx="18">
                  <c:v>141585089.79</c:v>
                </c:pt>
                <c:pt idx="19">
                  <c:v>155977223.62</c:v>
                </c:pt>
                <c:pt idx="20">
                  <c:v>170407130.72</c:v>
                </c:pt>
                <c:pt idx="21">
                  <c:v>184846023.63</c:v>
                </c:pt>
                <c:pt idx="22">
                  <c:v>199272659.78</c:v>
                </c:pt>
                <c:pt idx="23">
                  <c:v>213671483.39</c:v>
                </c:pt>
                <c:pt idx="24">
                  <c:v>228031147.99</c:v>
                </c:pt>
                <c:pt idx="25">
                  <c:v>242343407.13</c:v>
                </c:pt>
                <c:pt idx="26">
                  <c:v>256602198.88</c:v>
                </c:pt>
                <c:pt idx="27">
                  <c:v>270803175.58</c:v>
                </c:pt>
                <c:pt idx="28">
                  <c:v>284943182.95</c:v>
                </c:pt>
                <c:pt idx="29">
                  <c:v>299019786.44</c:v>
                </c:pt>
                <c:pt idx="30">
                  <c:v>313031222.4</c:v>
                </c:pt>
                <c:pt idx="31">
                  <c:v>326976193.4</c:v>
                </c:pt>
                <c:pt idx="32">
                  <c:v>340853607.48</c:v>
                </c:pt>
                <c:pt idx="33">
                  <c:v>354662604.16</c:v>
                </c:pt>
                <c:pt idx="34">
                  <c:v>368402579.38</c:v>
                </c:pt>
                <c:pt idx="35">
                  <c:v>382072995.75</c:v>
                </c:pt>
                <c:pt idx="36">
                  <c:v>395673350.53</c:v>
                </c:pt>
                <c:pt idx="37">
                  <c:v>409203174.8</c:v>
                </c:pt>
                <c:pt idx="38">
                  <c:v>422662182.26</c:v>
                </c:pt>
                <c:pt idx="39">
                  <c:v>436049967.12</c:v>
                </c:pt>
                <c:pt idx="40">
                  <c:v>449366243.5</c:v>
                </c:pt>
                <c:pt idx="41">
                  <c:v>462610666.27</c:v>
                </c:pt>
                <c:pt idx="42">
                  <c:v>475782978.24</c:v>
                </c:pt>
                <c:pt idx="43">
                  <c:v>488882805.4</c:v>
                </c:pt>
                <c:pt idx="44">
                  <c:v>501909918.39</c:v>
                </c:pt>
                <c:pt idx="45">
                  <c:v>514864000.6</c:v>
                </c:pt>
                <c:pt idx="46">
                  <c:v>527744791.92</c:v>
                </c:pt>
                <c:pt idx="47">
                  <c:v>540551974.9</c:v>
                </c:pt>
                <c:pt idx="48">
                  <c:v>553285287.8</c:v>
                </c:pt>
                <c:pt idx="49">
                  <c:v>565944467.66</c:v>
                </c:pt>
                <c:pt idx="50">
                  <c:v>578529167.91</c:v>
                </c:pt>
                <c:pt idx="51">
                  <c:v>591135196.8099999</c:v>
                </c:pt>
                <c:pt idx="52">
                  <c:v>603762554.36</c:v>
                </c:pt>
                <c:pt idx="53">
                  <c:v>616411295.46</c:v>
                </c:pt>
                <c:pt idx="54">
                  <c:v>629081447.5599999</c:v>
                </c:pt>
                <c:pt idx="55">
                  <c:v>641773038.11</c:v>
                </c:pt>
                <c:pt idx="56">
                  <c:v>654486149.46</c:v>
                </c:pt>
                <c:pt idx="57">
                  <c:v>667220781.61</c:v>
                </c:pt>
                <c:pt idx="58">
                  <c:v>679976962.01</c:v>
                </c:pt>
                <c:pt idx="59">
                  <c:v>692754718.11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Monatl. Umsatz (EUR)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tickLblPos val="none"/>
        <c:crossAx val="6005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Aut-idem Substitutionsquote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Aut-idem Quote</c:v>
          </c:tx>
          <c:spPr>
            <a:solidFill>
              <a:srgbClr val="FEF3C7"/>
            </a:solidFill>
            <a:ln w="25400">
              <a:solidFill>
                <a:srgbClr val="F59E0B"/>
              </a:solidFill>
            </a:ln>
          </c:spPr>
          <c:cat>
            <c:strRef>
              <c:f>'Generika Forecast'!$B$11:$B$70</c:f>
              <c:strCache>
                <c:ptCount val="60"/>
                <c:pt idx="0">
                  <c:v>2026-05</c:v>
                </c:pt>
                <c:pt idx="1">
                  <c:v>2026-06</c:v>
                </c:pt>
                <c:pt idx="2">
                  <c:v>2026-07</c:v>
                </c:pt>
                <c:pt idx="3">
                  <c:v>2026-08</c:v>
                </c:pt>
                <c:pt idx="4">
                  <c:v>2026-09</c:v>
                </c:pt>
                <c:pt idx="5">
                  <c:v>2026-10</c:v>
                </c:pt>
                <c:pt idx="6">
                  <c:v>2026-11</c:v>
                </c:pt>
                <c:pt idx="7">
                  <c:v>2026-12</c:v>
                </c:pt>
                <c:pt idx="8">
                  <c:v>2027-01</c:v>
                </c:pt>
                <c:pt idx="9">
                  <c:v>2027-02</c:v>
                </c:pt>
                <c:pt idx="10">
                  <c:v>2027-03</c:v>
                </c:pt>
                <c:pt idx="11">
                  <c:v>2027-04</c:v>
                </c:pt>
                <c:pt idx="12">
                  <c:v>2027-05</c:v>
                </c:pt>
                <c:pt idx="13">
                  <c:v>2027-06</c:v>
                </c:pt>
                <c:pt idx="14">
                  <c:v>2027-07</c:v>
                </c:pt>
                <c:pt idx="15">
                  <c:v>2027-08</c:v>
                </c:pt>
                <c:pt idx="16">
                  <c:v>2027-09</c:v>
                </c:pt>
                <c:pt idx="17">
                  <c:v>2027-10</c:v>
                </c:pt>
                <c:pt idx="18">
                  <c:v>2027-11</c:v>
                </c:pt>
                <c:pt idx="19">
                  <c:v>2027-12</c:v>
                </c:pt>
                <c:pt idx="20">
                  <c:v>2028-01</c:v>
                </c:pt>
                <c:pt idx="21">
                  <c:v>2028-02</c:v>
                </c:pt>
                <c:pt idx="22">
                  <c:v>2028-03</c:v>
                </c:pt>
                <c:pt idx="23">
                  <c:v>2028-04</c:v>
                </c:pt>
                <c:pt idx="24">
                  <c:v>2028-05</c:v>
                </c:pt>
                <c:pt idx="25">
                  <c:v>2028-06</c:v>
                </c:pt>
                <c:pt idx="26">
                  <c:v>2028-07</c:v>
                </c:pt>
                <c:pt idx="27">
                  <c:v>2028-08</c:v>
                </c:pt>
                <c:pt idx="28">
                  <c:v>2028-09</c:v>
                </c:pt>
                <c:pt idx="29">
                  <c:v>2028-10</c:v>
                </c:pt>
                <c:pt idx="30">
                  <c:v>2028-11</c:v>
                </c:pt>
                <c:pt idx="31">
                  <c:v>2028-12</c:v>
                </c:pt>
                <c:pt idx="32">
                  <c:v>2029-01</c:v>
                </c:pt>
                <c:pt idx="33">
                  <c:v>2029-02</c:v>
                </c:pt>
                <c:pt idx="34">
                  <c:v>2029-03</c:v>
                </c:pt>
                <c:pt idx="35">
                  <c:v>2029-04</c:v>
                </c:pt>
                <c:pt idx="36">
                  <c:v>2029-05</c:v>
                </c:pt>
                <c:pt idx="37">
                  <c:v>2029-06</c:v>
                </c:pt>
                <c:pt idx="38">
                  <c:v>2029-07</c:v>
                </c:pt>
                <c:pt idx="39">
                  <c:v>2029-08</c:v>
                </c:pt>
                <c:pt idx="40">
                  <c:v>2029-09</c:v>
                </c:pt>
                <c:pt idx="41">
                  <c:v>2029-10</c:v>
                </c:pt>
                <c:pt idx="42">
                  <c:v>2029-11</c:v>
                </c:pt>
                <c:pt idx="43">
                  <c:v>2029-12</c:v>
                </c:pt>
                <c:pt idx="44">
                  <c:v>2030-01</c:v>
                </c:pt>
                <c:pt idx="45">
                  <c:v>2030-02</c:v>
                </c:pt>
                <c:pt idx="46">
                  <c:v>2030-03</c:v>
                </c:pt>
                <c:pt idx="47">
                  <c:v>2030-04</c:v>
                </c:pt>
                <c:pt idx="48">
                  <c:v>2030-05</c:v>
                </c:pt>
                <c:pt idx="49">
                  <c:v>2030-06</c:v>
                </c:pt>
                <c:pt idx="50">
                  <c:v>2030-07</c:v>
                </c:pt>
                <c:pt idx="51">
                  <c:v>2030-08</c:v>
                </c:pt>
                <c:pt idx="52">
                  <c:v>2030-09</c:v>
                </c:pt>
                <c:pt idx="53">
                  <c:v>2030-10</c:v>
                </c:pt>
                <c:pt idx="54">
                  <c:v>2030-11</c:v>
                </c:pt>
                <c:pt idx="55">
                  <c:v>2030-12</c:v>
                </c:pt>
                <c:pt idx="56">
                  <c:v>2031-01</c:v>
                </c:pt>
                <c:pt idx="57">
                  <c:v>2031-02</c:v>
                </c:pt>
                <c:pt idx="58">
                  <c:v>2031-03</c:v>
                </c:pt>
                <c:pt idx="59">
                  <c:v>2031-04</c:v>
                </c:pt>
              </c:strCache>
            </c:strRef>
          </c:cat>
          <c:val>
            <c:numRef>
              <c:f>'Generika Forecast'!$J$11:$J$70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0.125</c:v>
                </c:pt>
                <c:pt idx="8">
                  <c:v>0.25</c:v>
                </c:pt>
                <c:pt idx="9">
                  <c:v>0.375</c:v>
                </c:pt>
                <c:pt idx="10">
                  <c:v>0.5</c:v>
                </c:pt>
                <c:pt idx="11">
                  <c:v>0.625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</c:numCache>
            </c:numRef>
          </c:val>
        </c:ser>
        <c:axId val="50060001"/>
        <c:axId val="50060002"/>
      </c:area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Quote</a:t>
                </a:r>
              </a:p>
            </c:rich>
          </c:tx>
          <c:layout/>
        </c:title>
        <c:numFmt formatCode="0%" sourceLinked="0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81</xdr:row>
      <xdr:rowOff>0</xdr:rowOff>
    </xdr:from>
    <xdr:to>
      <xdr:col>8</xdr:col>
      <xdr:colOff>85725</xdr:colOff>
      <xdr:row>100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81</xdr:row>
      <xdr:rowOff>0</xdr:rowOff>
    </xdr:from>
    <xdr:to>
      <xdr:col>17</xdr:col>
      <xdr:colOff>219075</xdr:colOff>
      <xdr:row>100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101</xdr:row>
      <xdr:rowOff>0</xdr:rowOff>
    </xdr:from>
    <xdr:to>
      <xdr:col>8</xdr:col>
      <xdr:colOff>85725</xdr:colOff>
      <xdr:row>120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71</xdr:row>
      <xdr:rowOff>0</xdr:rowOff>
    </xdr:from>
    <xdr:to>
      <xdr:col>8</xdr:col>
      <xdr:colOff>885825</xdr:colOff>
      <xdr:row>90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71</xdr:row>
      <xdr:rowOff>0</xdr:rowOff>
    </xdr:from>
    <xdr:to>
      <xdr:col>17</xdr:col>
      <xdr:colOff>142875</xdr:colOff>
      <xdr:row>90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8</xdr:col>
      <xdr:colOff>885825</xdr:colOff>
      <xdr:row>110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F92"/>
  <sheetViews>
    <sheetView showGridLines="0" tabSelected="1" workbookViewId="0"/>
  </sheetViews>
  <sheetFormatPr defaultRowHeight="15"/>
  <cols>
    <col min="1" max="1" width="3.7109375" customWidth="1"/>
    <col min="2" max="2" width="42.7109375" customWidth="1"/>
    <col min="3" max="3" width="18.7109375" customWidth="1"/>
    <col min="4" max="4" width="50.7109375" customWidth="1"/>
    <col min="5" max="6" width="18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5" t="s">
        <v>10</v>
      </c>
      <c r="D8" s="6" t="s">
        <v>11</v>
      </c>
    </row>
    <row r="9" spans="2:4">
      <c r="B9" s="4" t="s">
        <v>12</v>
      </c>
      <c r="C9" s="7">
        <v>4200000</v>
      </c>
      <c r="D9" s="6" t="s">
        <v>13</v>
      </c>
    </row>
    <row r="10" spans="2:4">
      <c r="B10" s="4" t="s">
        <v>14</v>
      </c>
      <c r="C10" s="7">
        <v>285000000</v>
      </c>
      <c r="D10" s="6" t="s">
        <v>15</v>
      </c>
    </row>
    <row r="11" spans="2:4">
      <c r="B11" s="4" t="s">
        <v>16</v>
      </c>
      <c r="C11" s="8">
        <v>0.02</v>
      </c>
      <c r="D11" s="6" t="s">
        <v>17</v>
      </c>
    </row>
    <row r="12" spans="2:4">
      <c r="B12" s="4" t="s">
        <v>18</v>
      </c>
      <c r="C12" s="7">
        <v>60</v>
      </c>
      <c r="D12" s="6" t="s">
        <v>19</v>
      </c>
    </row>
    <row r="14" spans="2:4">
      <c r="B14" s="3" t="s">
        <v>20</v>
      </c>
      <c r="C14" s="3"/>
      <c r="D14" s="3"/>
    </row>
    <row r="15" spans="2:4">
      <c r="B15" s="4" t="s">
        <v>21</v>
      </c>
      <c r="C15" s="5" t="s">
        <v>22</v>
      </c>
      <c r="D15" s="6" t="s">
        <v>23</v>
      </c>
    </row>
    <row r="16" spans="2:4">
      <c r="B16" s="4" t="s">
        <v>24</v>
      </c>
      <c r="C16" s="8">
        <v>0.42</v>
      </c>
      <c r="D16" s="6" t="s">
        <v>25</v>
      </c>
    </row>
    <row r="17" spans="2:4">
      <c r="B17" s="4" t="s">
        <v>26</v>
      </c>
      <c r="C17" s="9">
        <v>91.5</v>
      </c>
      <c r="D17" s="6" t="s">
        <v>27</v>
      </c>
    </row>
    <row r="18" spans="2:4">
      <c r="B18" s="4" t="s">
        <v>28</v>
      </c>
      <c r="C18" s="8">
        <v>0.15</v>
      </c>
      <c r="D18" s="6" t="s">
        <v>29</v>
      </c>
    </row>
    <row r="19" spans="2:4">
      <c r="B19" s="4" t="s">
        <v>30</v>
      </c>
      <c r="C19" s="7">
        <v>1</v>
      </c>
      <c r="D19" s="6" t="s">
        <v>31</v>
      </c>
    </row>
    <row r="20" spans="2:4">
      <c r="B20" s="4" t="s">
        <v>32</v>
      </c>
      <c r="C20" s="8">
        <v>0.12</v>
      </c>
      <c r="D20" s="6" t="s">
        <v>33</v>
      </c>
    </row>
    <row r="21" spans="2:4">
      <c r="B21" s="4" t="s">
        <v>34</v>
      </c>
      <c r="C21" s="7">
        <v>18</v>
      </c>
      <c r="D21" s="6" t="s">
        <v>35</v>
      </c>
    </row>
    <row r="22" spans="2:4">
      <c r="B22" s="10" t="s">
        <v>36</v>
      </c>
      <c r="C22" s="10"/>
      <c r="D22" s="10"/>
    </row>
    <row r="23" spans="2:4">
      <c r="B23" s="4" t="s">
        <v>37</v>
      </c>
      <c r="C23" s="11" t="s">
        <v>38</v>
      </c>
      <c r="D23" s="6" t="s">
        <v>39</v>
      </c>
    </row>
    <row r="24" spans="2:4">
      <c r="B24" s="4" t="s">
        <v>40</v>
      </c>
      <c r="C24" s="8">
        <v>0.25</v>
      </c>
      <c r="D24" s="6" t="s">
        <v>41</v>
      </c>
    </row>
    <row r="25" spans="2:4">
      <c r="B25" s="4" t="s">
        <v>42</v>
      </c>
      <c r="C25" s="8">
        <v>0.3</v>
      </c>
      <c r="D25" s="6" t="s">
        <v>43</v>
      </c>
    </row>
    <row r="27" spans="2:4">
      <c r="B27" s="3" t="s">
        <v>44</v>
      </c>
      <c r="C27" s="3"/>
      <c r="D27" s="3"/>
    </row>
    <row r="28" spans="2:4">
      <c r="B28" s="4" t="s">
        <v>45</v>
      </c>
      <c r="C28" s="5" t="s">
        <v>46</v>
      </c>
      <c r="D28" s="6" t="s">
        <v>47</v>
      </c>
    </row>
    <row r="29" spans="2:4">
      <c r="B29" s="4" t="s">
        <v>48</v>
      </c>
      <c r="C29" s="5" t="s">
        <v>49</v>
      </c>
      <c r="D29" s="6" t="s">
        <v>50</v>
      </c>
    </row>
    <row r="30" spans="2:4">
      <c r="B30" s="4" t="s">
        <v>51</v>
      </c>
      <c r="C30" s="7">
        <v>0</v>
      </c>
      <c r="D30" s="6" t="s">
        <v>52</v>
      </c>
    </row>
    <row r="31" spans="2:4">
      <c r="B31" s="4" t="s">
        <v>53</v>
      </c>
      <c r="C31" s="8">
        <v>0.45</v>
      </c>
      <c r="D31" s="6" t="s">
        <v>54</v>
      </c>
    </row>
    <row r="32" spans="2:4">
      <c r="B32" s="4" t="s">
        <v>55</v>
      </c>
      <c r="C32" s="8">
        <v>0.1</v>
      </c>
      <c r="D32" s="6" t="s">
        <v>56</v>
      </c>
    </row>
    <row r="33" spans="2:4">
      <c r="B33" s="4" t="s">
        <v>57</v>
      </c>
      <c r="C33" s="7">
        <v>18</v>
      </c>
      <c r="D33" s="6" t="s">
        <v>58</v>
      </c>
    </row>
    <row r="35" spans="2:4">
      <c r="B35" s="3" t="s">
        <v>59</v>
      </c>
      <c r="C35" s="3"/>
      <c r="D35" s="3"/>
    </row>
    <row r="36" spans="2:4">
      <c r="B36" s="6" t="s">
        <v>60</v>
      </c>
      <c r="C36" s="6"/>
      <c r="D36" s="6"/>
    </row>
    <row r="37" spans="2:4">
      <c r="B37" s="4" t="s">
        <v>61</v>
      </c>
      <c r="C37" s="11" t="s">
        <v>62</v>
      </c>
      <c r="D37" s="6" t="s">
        <v>63</v>
      </c>
    </row>
    <row r="38" spans="2:4">
      <c r="B38" s="4" t="s">
        <v>64</v>
      </c>
      <c r="C38" s="7">
        <v>6</v>
      </c>
      <c r="D38" s="6" t="s">
        <v>65</v>
      </c>
    </row>
    <row r="39" spans="2:4">
      <c r="B39" s="4" t="s">
        <v>66</v>
      </c>
      <c r="C39" s="7">
        <v>12</v>
      </c>
      <c r="D39" s="6" t="s">
        <v>67</v>
      </c>
    </row>
    <row r="40" spans="2:4">
      <c r="B40" s="4" t="s">
        <v>68</v>
      </c>
      <c r="C40" s="8">
        <v>0.75</v>
      </c>
      <c r="D40" s="6" t="s">
        <v>69</v>
      </c>
    </row>
    <row r="41" spans="2:4">
      <c r="B41" s="4" t="s">
        <v>70</v>
      </c>
      <c r="C41" s="8">
        <v>0.3</v>
      </c>
      <c r="D41" s="6" t="s">
        <v>71</v>
      </c>
    </row>
    <row r="42" spans="2:4">
      <c r="B42" s="10" t="s">
        <v>72</v>
      </c>
      <c r="C42" s="10"/>
      <c r="D42" s="10"/>
    </row>
    <row r="43" spans="2:4">
      <c r="B43" s="12" t="s">
        <v>73</v>
      </c>
      <c r="C43" s="12"/>
      <c r="D43" s="12"/>
    </row>
    <row r="44" spans="2:4">
      <c r="B44" s="12" t="s">
        <v>74</v>
      </c>
      <c r="C44" s="12"/>
      <c r="D44" s="12"/>
    </row>
    <row r="45" spans="2:4">
      <c r="B45" s="12" t="s">
        <v>75</v>
      </c>
      <c r="C45" s="12"/>
      <c r="D45" s="12"/>
    </row>
    <row r="46" spans="2:4">
      <c r="B46" s="12" t="s">
        <v>76</v>
      </c>
      <c r="C46" s="12"/>
      <c r="D46" s="12"/>
    </row>
    <row r="47" spans="2:4">
      <c r="B47" s="12" t="s">
        <v>77</v>
      </c>
      <c r="C47" s="12"/>
      <c r="D47" s="12"/>
    </row>
    <row r="48" spans="2:4">
      <c r="B48" s="12" t="s">
        <v>78</v>
      </c>
      <c r="C48" s="12"/>
      <c r="D48" s="12"/>
    </row>
    <row r="50" spans="2:6">
      <c r="B50" s="3" t="s">
        <v>79</v>
      </c>
      <c r="C50" s="3"/>
      <c r="D50" s="3"/>
    </row>
    <row r="51" spans="2:6">
      <c r="B51" s="4" t="s">
        <v>80</v>
      </c>
      <c r="C51" s="11" t="s">
        <v>62</v>
      </c>
      <c r="D51" s="6" t="s">
        <v>81</v>
      </c>
    </row>
    <row r="52" spans="2:6">
      <c r="B52" s="4" t="s">
        <v>82</v>
      </c>
      <c r="C52" s="7">
        <v>3</v>
      </c>
      <c r="D52" s="6" t="s">
        <v>83</v>
      </c>
    </row>
    <row r="53" spans="2:6">
      <c r="B53" s="4" t="s">
        <v>84</v>
      </c>
      <c r="C53" s="7">
        <v>24</v>
      </c>
      <c r="D53" s="6" t="s">
        <v>85</v>
      </c>
    </row>
    <row r="55" spans="2:6">
      <c r="B55" s="10" t="s">
        <v>86</v>
      </c>
      <c r="C55" s="10"/>
      <c r="D55" s="10"/>
      <c r="E55" s="10"/>
      <c r="F55" s="10"/>
    </row>
    <row r="56" spans="2:6" ht="30" customHeight="1">
      <c r="B56" s="13" t="s">
        <v>87</v>
      </c>
      <c r="C56" s="13" t="s">
        <v>88</v>
      </c>
      <c r="D56" s="13" t="s">
        <v>89</v>
      </c>
      <c r="E56" s="13" t="s">
        <v>90</v>
      </c>
      <c r="F56" s="13" t="s">
        <v>91</v>
      </c>
    </row>
    <row r="57" spans="2:6">
      <c r="B57" s="5" t="s">
        <v>92</v>
      </c>
      <c r="C57" s="7">
        <v>11.5</v>
      </c>
      <c r="D57" s="8">
        <v>0.158</v>
      </c>
      <c r="E57" s="8">
        <v>0.5</v>
      </c>
      <c r="F57" s="11" t="s">
        <v>93</v>
      </c>
    </row>
    <row r="58" spans="2:6">
      <c r="B58" s="5" t="s">
        <v>94</v>
      </c>
      <c r="C58" s="7">
        <v>8.699999999999999</v>
      </c>
      <c r="D58" s="8">
        <v>0.119</v>
      </c>
      <c r="E58" s="8">
        <v>0.4</v>
      </c>
      <c r="F58" s="11" t="s">
        <v>93</v>
      </c>
    </row>
    <row r="59" spans="2:6">
      <c r="B59" s="5" t="s">
        <v>95</v>
      </c>
      <c r="C59" s="7">
        <v>5.5</v>
      </c>
      <c r="D59" s="8">
        <v>0.075</v>
      </c>
      <c r="E59" s="8">
        <v>0.45</v>
      </c>
      <c r="F59" s="11" t="s">
        <v>93</v>
      </c>
    </row>
    <row r="60" spans="2:6">
      <c r="B60" s="5" t="s">
        <v>96</v>
      </c>
      <c r="C60" s="7">
        <v>4.6</v>
      </c>
      <c r="D60" s="8">
        <v>0.063</v>
      </c>
      <c r="E60" s="8">
        <v>0.3</v>
      </c>
      <c r="F60" s="11" t="s">
        <v>97</v>
      </c>
    </row>
    <row r="61" spans="2:6">
      <c r="B61" s="5" t="s">
        <v>98</v>
      </c>
      <c r="C61" s="7">
        <v>4.5</v>
      </c>
      <c r="D61" s="8">
        <v>0.062</v>
      </c>
      <c r="E61" s="8">
        <v>0.3</v>
      </c>
      <c r="F61" s="11" t="s">
        <v>97</v>
      </c>
    </row>
    <row r="62" spans="2:6">
      <c r="B62" s="5" t="s">
        <v>99</v>
      </c>
      <c r="C62" s="7">
        <v>3</v>
      </c>
      <c r="D62" s="8">
        <v>0.041</v>
      </c>
      <c r="E62" s="8">
        <v>0.35</v>
      </c>
      <c r="F62" s="11" t="s">
        <v>97</v>
      </c>
    </row>
    <row r="63" spans="2:6">
      <c r="B63" s="5" t="s">
        <v>100</v>
      </c>
      <c r="C63" s="7">
        <v>2.9</v>
      </c>
      <c r="D63" s="8">
        <v>0.04</v>
      </c>
      <c r="E63" s="8">
        <v>0.35</v>
      </c>
      <c r="F63" s="11" t="s">
        <v>97</v>
      </c>
    </row>
    <row r="64" spans="2:6">
      <c r="B64" s="5" t="s">
        <v>101</v>
      </c>
      <c r="C64" s="7">
        <v>3</v>
      </c>
      <c r="D64" s="8">
        <v>0.041</v>
      </c>
      <c r="E64" s="8">
        <v>0.25</v>
      </c>
      <c r="F64" s="11" t="s">
        <v>102</v>
      </c>
    </row>
    <row r="65" spans="2:6">
      <c r="B65" s="5" t="s">
        <v>103</v>
      </c>
      <c r="C65" s="7">
        <v>1.5</v>
      </c>
      <c r="D65" s="8">
        <v>0.021</v>
      </c>
      <c r="E65" s="8">
        <v>0.2</v>
      </c>
      <c r="F65" s="11" t="s">
        <v>102</v>
      </c>
    </row>
    <row r="66" spans="2:6">
      <c r="B66" s="5" t="s">
        <v>104</v>
      </c>
      <c r="C66" s="7">
        <v>0.9</v>
      </c>
      <c r="D66" s="8">
        <v>0.012</v>
      </c>
      <c r="E66" s="8">
        <v>0.2</v>
      </c>
      <c r="F66" s="11" t="s">
        <v>102</v>
      </c>
    </row>
    <row r="67" spans="2:6">
      <c r="B67" s="10" t="s">
        <v>105</v>
      </c>
      <c r="C67" s="10"/>
      <c r="D67" s="10"/>
      <c r="E67" s="10"/>
      <c r="F67" s="10"/>
    </row>
    <row r="68" spans="2:6">
      <c r="B68" s="12" t="s">
        <v>106</v>
      </c>
      <c r="C68" s="12"/>
      <c r="D68" s="12"/>
      <c r="E68" s="12"/>
      <c r="F68" s="12"/>
    </row>
    <row r="69" spans="2:6">
      <c r="B69" s="12" t="s">
        <v>107</v>
      </c>
      <c r="C69" s="12"/>
      <c r="D69" s="12"/>
      <c r="E69" s="12"/>
      <c r="F69" s="12"/>
    </row>
    <row r="70" spans="2:6">
      <c r="B70" s="12" t="s">
        <v>108</v>
      </c>
      <c r="C70" s="12"/>
      <c r="D70" s="12"/>
      <c r="E70" s="12"/>
      <c r="F70" s="12"/>
    </row>
    <row r="71" spans="2:6">
      <c r="B71" s="12" t="s">
        <v>109</v>
      </c>
      <c r="C71" s="12"/>
      <c r="D71" s="12"/>
      <c r="E71" s="12"/>
      <c r="F71" s="12"/>
    </row>
    <row r="72" spans="2:6">
      <c r="B72" s="12" t="s">
        <v>110</v>
      </c>
      <c r="C72" s="12"/>
      <c r="D72" s="12"/>
      <c r="E72" s="12"/>
      <c r="F72" s="12"/>
    </row>
    <row r="73" spans="2:6">
      <c r="B73" s="12" t="s">
        <v>111</v>
      </c>
      <c r="C73" s="12"/>
      <c r="D73" s="12"/>
      <c r="E73" s="12"/>
      <c r="F73" s="12"/>
    </row>
    <row r="75" spans="2:6">
      <c r="B75" s="3" t="s">
        <v>112</v>
      </c>
      <c r="C75" s="3"/>
      <c r="D75" s="3"/>
    </row>
    <row r="76" spans="2:6">
      <c r="B76" s="4" t="s">
        <v>113</v>
      </c>
      <c r="C76" s="8">
        <v>0.25</v>
      </c>
      <c r="D76" s="6" t="s">
        <v>114</v>
      </c>
    </row>
    <row r="77" spans="2:6">
      <c r="B77" s="4" t="s">
        <v>115</v>
      </c>
      <c r="C77" s="7">
        <v>150000</v>
      </c>
      <c r="D77" s="6" t="s">
        <v>116</v>
      </c>
    </row>
    <row r="78" spans="2:6">
      <c r="B78" s="4" t="s">
        <v>117</v>
      </c>
      <c r="C78" s="7">
        <v>500000</v>
      </c>
      <c r="D78" s="6" t="s">
        <v>118</v>
      </c>
    </row>
    <row r="79" spans="2:6">
      <c r="B79" s="4" t="s">
        <v>119</v>
      </c>
      <c r="C79" s="7">
        <v>50000</v>
      </c>
      <c r="D79" s="6" t="s">
        <v>120</v>
      </c>
    </row>
    <row r="81" spans="2:5">
      <c r="B81" s="3" t="s">
        <v>121</v>
      </c>
      <c r="C81" s="3"/>
      <c r="D81" s="3"/>
      <c r="E81" s="3"/>
    </row>
    <row r="82" spans="2:5">
      <c r="B82" s="13" t="s">
        <v>122</v>
      </c>
      <c r="C82" s="13" t="s">
        <v>123</v>
      </c>
      <c r="D82" s="13" t="s">
        <v>124</v>
      </c>
      <c r="E82" s="13" t="s">
        <v>125</v>
      </c>
    </row>
    <row r="83" spans="2:5">
      <c r="B83" s="4" t="s">
        <v>126</v>
      </c>
      <c r="C83" s="8">
        <v>0.2</v>
      </c>
      <c r="D83" s="8">
        <v>0.15</v>
      </c>
      <c r="E83" s="8">
        <v>0.1</v>
      </c>
    </row>
    <row r="84" spans="2:5">
      <c r="B84" s="4" t="s">
        <v>30</v>
      </c>
      <c r="C84" s="8">
        <v>0.7</v>
      </c>
      <c r="D84" s="8">
        <v>1</v>
      </c>
      <c r="E84" s="8">
        <v>1.3</v>
      </c>
    </row>
    <row r="85" spans="2:5">
      <c r="B85" s="4" t="s">
        <v>127</v>
      </c>
      <c r="C85" s="8">
        <v>0.18</v>
      </c>
      <c r="D85" s="8">
        <v>0.12</v>
      </c>
      <c r="E85" s="8">
        <v>0.08</v>
      </c>
    </row>
    <row r="86" spans="2:5">
      <c r="B86" s="4" t="s">
        <v>128</v>
      </c>
      <c r="C86" s="8">
        <v>0.6</v>
      </c>
      <c r="D86" s="8">
        <v>0.75</v>
      </c>
      <c r="E86" s="8">
        <v>0.85</v>
      </c>
    </row>
    <row r="87" spans="2:5">
      <c r="B87" s="4" t="s">
        <v>129</v>
      </c>
      <c r="C87" s="8">
        <v>0.06</v>
      </c>
      <c r="D87" s="8">
        <v>0.1</v>
      </c>
      <c r="E87" s="8">
        <v>0.15</v>
      </c>
    </row>
    <row r="88" spans="2:5">
      <c r="B88" s="4" t="s">
        <v>130</v>
      </c>
      <c r="C88" s="8">
        <v>0.4</v>
      </c>
      <c r="D88" s="8">
        <v>0.55</v>
      </c>
      <c r="E88" s="8">
        <v>0.65</v>
      </c>
    </row>
    <row r="89" spans="2:5">
      <c r="B89" s="4" t="s">
        <v>131</v>
      </c>
      <c r="C89" s="8">
        <v>0.35</v>
      </c>
      <c r="D89" s="8">
        <v>0.45</v>
      </c>
      <c r="E89" s="8">
        <v>0.5</v>
      </c>
    </row>
    <row r="90" spans="2:5">
      <c r="B90" s="4" t="s">
        <v>132</v>
      </c>
      <c r="C90" s="8">
        <v>0.01</v>
      </c>
      <c r="D90" s="8">
        <v>0.02</v>
      </c>
      <c r="E90" s="8">
        <v>0.03</v>
      </c>
    </row>
    <row r="91" spans="2:5">
      <c r="B91" s="4" t="s">
        <v>133</v>
      </c>
      <c r="C91" s="8">
        <v>0.2</v>
      </c>
      <c r="D91" s="8">
        <v>0.4</v>
      </c>
      <c r="E91" s="8">
        <v>0.6</v>
      </c>
    </row>
    <row r="92" spans="2:5">
      <c r="B92" s="4" t="s">
        <v>134</v>
      </c>
      <c r="C92" s="8">
        <v>0.15</v>
      </c>
      <c r="D92" s="8">
        <v>0.3</v>
      </c>
      <c r="E92" s="8">
        <v>0.4</v>
      </c>
    </row>
  </sheetData>
  <mergeCells count="26">
    <mergeCell ref="B2:D2"/>
    <mergeCell ref="B3:D3"/>
    <mergeCell ref="B5:D5"/>
    <mergeCell ref="B14:D14"/>
    <mergeCell ref="B22:D22"/>
    <mergeCell ref="B27:D27"/>
    <mergeCell ref="B35:D35"/>
    <mergeCell ref="B36:D36"/>
    <mergeCell ref="B42:D42"/>
    <mergeCell ref="B43:D43"/>
    <mergeCell ref="B44:D44"/>
    <mergeCell ref="B45:D45"/>
    <mergeCell ref="B46:D46"/>
    <mergeCell ref="B47:D47"/>
    <mergeCell ref="B48:D48"/>
    <mergeCell ref="B50:D50"/>
    <mergeCell ref="B55:F55"/>
    <mergeCell ref="B67:F67"/>
    <mergeCell ref="B68:F68"/>
    <mergeCell ref="B69:F69"/>
    <mergeCell ref="B70:F70"/>
    <mergeCell ref="B71:F71"/>
    <mergeCell ref="B72:F72"/>
    <mergeCell ref="B73:F73"/>
    <mergeCell ref="B75:D75"/>
    <mergeCell ref="B81:E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G18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7" width="18.7109375" customWidth="1"/>
  </cols>
  <sheetData>
    <row r="2" spans="2:7">
      <c r="B2" s="1" t="s">
        <v>135</v>
      </c>
      <c r="C2" s="1"/>
      <c r="D2" s="1"/>
      <c r="E2" s="1"/>
      <c r="F2" s="1"/>
      <c r="G2" s="1"/>
    </row>
    <row r="4" spans="2:7">
      <c r="B4" s="13" t="s">
        <v>136</v>
      </c>
      <c r="C4" s="13" t="s">
        <v>137</v>
      </c>
      <c r="D4" s="13" t="s">
        <v>138</v>
      </c>
      <c r="E4" s="13" t="s">
        <v>139</v>
      </c>
      <c r="F4" s="13" t="s">
        <v>140</v>
      </c>
      <c r="G4" s="13" t="s">
        <v>141</v>
      </c>
    </row>
    <row r="5" spans="2:7">
      <c r="B5" s="4" t="s">
        <v>142</v>
      </c>
      <c r="C5" s="12" t="s">
        <v>143</v>
      </c>
      <c r="D5" s="14">
        <v>0.42</v>
      </c>
      <c r="E5" s="15">
        <v>91.5</v>
      </c>
      <c r="F5" s="16">
        <v>161000000</v>
      </c>
      <c r="G5" s="12" t="s">
        <v>10</v>
      </c>
    </row>
    <row r="6" spans="2:7">
      <c r="B6" s="4" t="s">
        <v>144</v>
      </c>
      <c r="C6" s="12" t="s">
        <v>145</v>
      </c>
      <c r="D6" s="14">
        <v>0.35</v>
      </c>
      <c r="E6" s="15">
        <v>87.8</v>
      </c>
      <c r="F6" s="16">
        <v>129000000</v>
      </c>
      <c r="G6" s="12" t="s">
        <v>146</v>
      </c>
    </row>
    <row r="7" spans="2:7">
      <c r="B7" s="4" t="s">
        <v>147</v>
      </c>
      <c r="C7" s="12" t="s">
        <v>148</v>
      </c>
      <c r="D7" s="14">
        <v>0.15</v>
      </c>
      <c r="E7" s="15">
        <v>74.2</v>
      </c>
      <c r="F7" s="16">
        <v>47000000</v>
      </c>
      <c r="G7" s="12" t="s">
        <v>149</v>
      </c>
    </row>
    <row r="8" spans="2:7">
      <c r="B8" s="4" t="s">
        <v>150</v>
      </c>
      <c r="C8" s="12" t="s">
        <v>151</v>
      </c>
      <c r="D8" s="14">
        <v>0.08</v>
      </c>
      <c r="E8" s="15">
        <v>64</v>
      </c>
      <c r="F8" s="16">
        <v>21500000</v>
      </c>
      <c r="G8" s="12" t="s">
        <v>152</v>
      </c>
    </row>
    <row r="9" spans="2:7">
      <c r="B9" s="4" t="s">
        <v>153</v>
      </c>
      <c r="D9" s="14">
        <v>1</v>
      </c>
      <c r="F9" s="16">
        <v>285000000</v>
      </c>
    </row>
    <row r="12" spans="2:7">
      <c r="B12" s="3" t="s">
        <v>154</v>
      </c>
      <c r="C12" s="3"/>
      <c r="D12" s="3"/>
      <c r="E12" s="3"/>
      <c r="F12" s="3"/>
      <c r="G12" s="3"/>
    </row>
    <row r="13" spans="2:7">
      <c r="B13" s="4" t="s">
        <v>155</v>
      </c>
      <c r="C13" s="12" t="s">
        <v>156</v>
      </c>
      <c r="D13" s="12"/>
      <c r="E13" s="12"/>
      <c r="F13" s="12"/>
      <c r="G13" s="12"/>
    </row>
    <row r="14" spans="2:7">
      <c r="B14" s="4" t="s">
        <v>157</v>
      </c>
      <c r="C14" s="12" t="s">
        <v>158</v>
      </c>
      <c r="D14" s="12"/>
      <c r="E14" s="12"/>
      <c r="F14" s="12"/>
      <c r="G14" s="12"/>
    </row>
    <row r="15" spans="2:7">
      <c r="B15" s="4" t="s">
        <v>159</v>
      </c>
      <c r="C15" s="12" t="s">
        <v>160</v>
      </c>
      <c r="D15" s="12"/>
      <c r="E15" s="12"/>
      <c r="F15" s="12"/>
      <c r="G15" s="12"/>
    </row>
    <row r="16" spans="2:7">
      <c r="B16" s="4" t="s">
        <v>161</v>
      </c>
      <c r="C16" s="12" t="s">
        <v>162</v>
      </c>
      <c r="D16" s="12"/>
      <c r="E16" s="12"/>
      <c r="F16" s="12"/>
      <c r="G16" s="12"/>
    </row>
    <row r="17" spans="2:7">
      <c r="B17" s="4" t="s">
        <v>163</v>
      </c>
      <c r="C17" s="12" t="s">
        <v>164</v>
      </c>
      <c r="D17" s="12"/>
      <c r="E17" s="12"/>
      <c r="F17" s="12"/>
      <c r="G17" s="12"/>
    </row>
    <row r="18" spans="2:7">
      <c r="B18" s="4" t="s">
        <v>165</v>
      </c>
      <c r="C18" s="12" t="s">
        <v>166</v>
      </c>
      <c r="D18" s="12"/>
      <c r="E18" s="12"/>
      <c r="F18" s="12"/>
      <c r="G18" s="12"/>
    </row>
  </sheetData>
  <mergeCells count="8">
    <mergeCell ref="B2:G2"/>
    <mergeCell ref="B12:G12"/>
    <mergeCell ref="C13:G13"/>
    <mergeCell ref="C14:G14"/>
    <mergeCell ref="C15:G15"/>
    <mergeCell ref="C16:G16"/>
    <mergeCell ref="C17:G17"/>
    <mergeCell ref="C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C2626"/>
  </sheetPr>
  <dimension ref="B2:L8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4" width="16.7109375" customWidth="1"/>
  </cols>
  <sheetData>
    <row r="2" spans="2:12">
      <c r="B2" s="1" t="s">
        <v>167</v>
      </c>
      <c r="C2" s="1"/>
      <c r="D2" s="1"/>
      <c r="E2" s="1"/>
      <c r="F2" s="1"/>
      <c r="G2" s="1"/>
      <c r="H2" s="1"/>
      <c r="I2" s="1"/>
      <c r="J2" s="1"/>
      <c r="K2" s="1"/>
    </row>
    <row r="4" spans="2:12">
      <c r="B4" s="17" t="s">
        <v>168</v>
      </c>
      <c r="C4" s="17"/>
      <c r="D4" s="17" t="s">
        <v>169</v>
      </c>
      <c r="E4" s="17"/>
      <c r="F4" s="17" t="s">
        <v>170</v>
      </c>
      <c r="G4" s="17"/>
      <c r="H4" s="17" t="s">
        <v>171</v>
      </c>
      <c r="I4" s="17"/>
    </row>
    <row r="5" spans="2:12">
      <c r="B5" s="18">
        <v>1952761432.5</v>
      </c>
      <c r="C5" s="18"/>
      <c r="D5" s="18">
        <v>1112670380.27</v>
      </c>
      <c r="E5" s="18"/>
      <c r="F5" s="18">
        <v>7161404580.38</v>
      </c>
      <c r="G5" s="18"/>
      <c r="H5" s="19">
        <v>-0.4302067002390985</v>
      </c>
      <c r="I5" s="19"/>
    </row>
    <row r="8" spans="2:12" ht="35" customHeight="1">
      <c r="B8" s="20" t="s">
        <v>172</v>
      </c>
      <c r="C8" s="20" t="s">
        <v>173</v>
      </c>
      <c r="D8" s="20" t="s">
        <v>174</v>
      </c>
      <c r="E8" s="20" t="s">
        <v>175</v>
      </c>
      <c r="F8" s="20" t="s">
        <v>176</v>
      </c>
      <c r="G8" s="20" t="s">
        <v>177</v>
      </c>
      <c r="H8" s="20" t="s">
        <v>178</v>
      </c>
      <c r="I8" s="20" t="s">
        <v>179</v>
      </c>
      <c r="J8" s="20" t="s">
        <v>180</v>
      </c>
      <c r="K8" s="20" t="s">
        <v>181</v>
      </c>
      <c r="L8" s="20" t="s">
        <v>182</v>
      </c>
    </row>
    <row r="9" spans="2:12">
      <c r="B9" t="s">
        <v>183</v>
      </c>
      <c r="C9" s="21">
        <v>-12</v>
      </c>
      <c r="D9" s="21">
        <v>4200000</v>
      </c>
      <c r="E9" s="21">
        <v>1767839</v>
      </c>
      <c r="F9" s="14">
        <v>0.4209</v>
      </c>
      <c r="G9" s="14">
        <v>0</v>
      </c>
      <c r="H9" s="15">
        <v>91.5</v>
      </c>
      <c r="I9" s="16">
        <v>161757268.5</v>
      </c>
      <c r="J9" s="21">
        <v>0</v>
      </c>
      <c r="K9" s="16">
        <v>0</v>
      </c>
      <c r="L9" s="16">
        <v>0</v>
      </c>
    </row>
    <row r="10" spans="2:12">
      <c r="B10" s="22" t="s">
        <v>184</v>
      </c>
      <c r="C10" s="23">
        <v>-11</v>
      </c>
      <c r="D10" s="23">
        <v>4207000</v>
      </c>
      <c r="E10" s="23">
        <v>1753814</v>
      </c>
      <c r="F10" s="24">
        <v>0.4169</v>
      </c>
      <c r="G10" s="24">
        <v>0</v>
      </c>
      <c r="H10" s="25">
        <v>91.5</v>
      </c>
      <c r="I10" s="25">
        <v>160473981</v>
      </c>
      <c r="J10" s="23">
        <v>0</v>
      </c>
      <c r="K10" s="25">
        <v>0</v>
      </c>
      <c r="L10" s="25">
        <v>0</v>
      </c>
    </row>
    <row r="11" spans="2:12">
      <c r="B11" t="s">
        <v>185</v>
      </c>
      <c r="C11" s="21">
        <v>-10</v>
      </c>
      <c r="D11" s="21">
        <v>4214011</v>
      </c>
      <c r="E11" s="21">
        <v>1779372</v>
      </c>
      <c r="F11" s="14">
        <v>0.4223</v>
      </c>
      <c r="G11" s="14">
        <v>0</v>
      </c>
      <c r="H11" s="15">
        <v>91.5</v>
      </c>
      <c r="I11" s="16">
        <v>162812538</v>
      </c>
      <c r="J11" s="21">
        <v>0</v>
      </c>
      <c r="K11" s="16">
        <v>0</v>
      </c>
      <c r="L11" s="16">
        <v>0</v>
      </c>
    </row>
    <row r="12" spans="2:12">
      <c r="B12" s="22" t="s">
        <v>186</v>
      </c>
      <c r="C12" s="23">
        <v>-9</v>
      </c>
      <c r="D12" s="23">
        <v>4221035</v>
      </c>
      <c r="E12" s="23">
        <v>1784745</v>
      </c>
      <c r="F12" s="24">
        <v>0.4228</v>
      </c>
      <c r="G12" s="24">
        <v>0</v>
      </c>
      <c r="H12" s="25">
        <v>91.5</v>
      </c>
      <c r="I12" s="25">
        <v>163304167.5</v>
      </c>
      <c r="J12" s="23">
        <v>0</v>
      </c>
      <c r="K12" s="25">
        <v>0</v>
      </c>
      <c r="L12" s="25">
        <v>0</v>
      </c>
    </row>
    <row r="13" spans="2:12">
      <c r="B13" t="s">
        <v>187</v>
      </c>
      <c r="C13" s="21">
        <v>-8</v>
      </c>
      <c r="D13" s="21">
        <v>4228070</v>
      </c>
      <c r="E13" s="21">
        <v>1751042</v>
      </c>
      <c r="F13" s="14">
        <v>0.4141</v>
      </c>
      <c r="G13" s="14">
        <v>0</v>
      </c>
      <c r="H13" s="15">
        <v>91.5</v>
      </c>
      <c r="I13" s="16">
        <v>160220343</v>
      </c>
      <c r="J13" s="21">
        <v>0</v>
      </c>
      <c r="K13" s="16">
        <v>0</v>
      </c>
      <c r="L13" s="16">
        <v>0</v>
      </c>
    </row>
    <row r="14" spans="2:12">
      <c r="B14" s="22" t="s">
        <v>188</v>
      </c>
      <c r="C14" s="23">
        <v>-7</v>
      </c>
      <c r="D14" s="23">
        <v>4235116</v>
      </c>
      <c r="E14" s="23">
        <v>1762204</v>
      </c>
      <c r="F14" s="24">
        <v>0.4161</v>
      </c>
      <c r="G14" s="24">
        <v>0</v>
      </c>
      <c r="H14" s="25">
        <v>91.5</v>
      </c>
      <c r="I14" s="25">
        <v>161241666</v>
      </c>
      <c r="J14" s="23">
        <v>0</v>
      </c>
      <c r="K14" s="25">
        <v>0</v>
      </c>
      <c r="L14" s="25">
        <v>0</v>
      </c>
    </row>
    <row r="15" spans="2:12">
      <c r="B15" t="s">
        <v>189</v>
      </c>
      <c r="C15" s="21">
        <v>-6</v>
      </c>
      <c r="D15" s="21">
        <v>4242175</v>
      </c>
      <c r="E15" s="21">
        <v>1783340</v>
      </c>
      <c r="F15" s="14">
        <v>0.4204</v>
      </c>
      <c r="G15" s="14">
        <v>0</v>
      </c>
      <c r="H15" s="15">
        <v>91.5</v>
      </c>
      <c r="I15" s="16">
        <v>163175610</v>
      </c>
      <c r="J15" s="21">
        <v>0</v>
      </c>
      <c r="K15" s="16">
        <v>0</v>
      </c>
      <c r="L15" s="16">
        <v>0</v>
      </c>
    </row>
    <row r="16" spans="2:12">
      <c r="B16" s="22" t="s">
        <v>190</v>
      </c>
      <c r="C16" s="23">
        <v>-5</v>
      </c>
      <c r="D16" s="23">
        <v>4249245</v>
      </c>
      <c r="E16" s="23">
        <v>1780651</v>
      </c>
      <c r="F16" s="24">
        <v>0.4191</v>
      </c>
      <c r="G16" s="24">
        <v>0</v>
      </c>
      <c r="H16" s="25">
        <v>91.5</v>
      </c>
      <c r="I16" s="25">
        <v>162929566.5</v>
      </c>
      <c r="J16" s="23">
        <v>0</v>
      </c>
      <c r="K16" s="25">
        <v>0</v>
      </c>
      <c r="L16" s="25">
        <v>0</v>
      </c>
    </row>
    <row r="17" spans="2:12">
      <c r="B17" t="s">
        <v>191</v>
      </c>
      <c r="C17" s="21">
        <v>-4</v>
      </c>
      <c r="D17" s="21">
        <v>4256327</v>
      </c>
      <c r="E17" s="21">
        <v>1787443</v>
      </c>
      <c r="F17" s="14">
        <v>0.4199</v>
      </c>
      <c r="G17" s="14">
        <v>0</v>
      </c>
      <c r="H17" s="15">
        <v>91.5</v>
      </c>
      <c r="I17" s="16">
        <v>163551034.5</v>
      </c>
      <c r="J17" s="21">
        <v>0</v>
      </c>
      <c r="K17" s="16">
        <v>0</v>
      </c>
      <c r="L17" s="16">
        <v>0</v>
      </c>
    </row>
    <row r="18" spans="2:12">
      <c r="B18" s="22" t="s">
        <v>192</v>
      </c>
      <c r="C18" s="23">
        <v>-3</v>
      </c>
      <c r="D18" s="23">
        <v>4263421</v>
      </c>
      <c r="E18" s="23">
        <v>1779726</v>
      </c>
      <c r="F18" s="24">
        <v>0.4174</v>
      </c>
      <c r="G18" s="24">
        <v>0</v>
      </c>
      <c r="H18" s="25">
        <v>91.5</v>
      </c>
      <c r="I18" s="25">
        <v>162844929</v>
      </c>
      <c r="J18" s="23">
        <v>0</v>
      </c>
      <c r="K18" s="25">
        <v>0</v>
      </c>
      <c r="L18" s="25">
        <v>0</v>
      </c>
    </row>
    <row r="19" spans="2:12">
      <c r="B19" t="s">
        <v>193</v>
      </c>
      <c r="C19" s="21">
        <v>-2</v>
      </c>
      <c r="D19" s="21">
        <v>4270527</v>
      </c>
      <c r="E19" s="21">
        <v>1804887</v>
      </c>
      <c r="F19" s="14">
        <v>0.4226</v>
      </c>
      <c r="G19" s="14">
        <v>0</v>
      </c>
      <c r="H19" s="15">
        <v>91.5</v>
      </c>
      <c r="I19" s="16">
        <v>165147160.5</v>
      </c>
      <c r="J19" s="21">
        <v>0</v>
      </c>
      <c r="K19" s="16">
        <v>0</v>
      </c>
      <c r="L19" s="16">
        <v>0</v>
      </c>
    </row>
    <row r="20" spans="2:12">
      <c r="B20" s="22" t="s">
        <v>194</v>
      </c>
      <c r="C20" s="23">
        <v>-1</v>
      </c>
      <c r="D20" s="23">
        <v>4277644</v>
      </c>
      <c r="E20" s="23">
        <v>1806592</v>
      </c>
      <c r="F20" s="24">
        <v>0.4223</v>
      </c>
      <c r="G20" s="24">
        <v>0</v>
      </c>
      <c r="H20" s="25">
        <v>91.5</v>
      </c>
      <c r="I20" s="25">
        <v>165303168</v>
      </c>
      <c r="J20" s="23">
        <v>0</v>
      </c>
      <c r="K20" s="25">
        <v>0</v>
      </c>
      <c r="L20" s="25">
        <v>0</v>
      </c>
    </row>
    <row r="21" spans="2:12">
      <c r="B21" t="s">
        <v>195</v>
      </c>
      <c r="C21" s="21">
        <v>0</v>
      </c>
      <c r="D21" s="21">
        <v>4284774</v>
      </c>
      <c r="E21" s="21">
        <v>1799605</v>
      </c>
      <c r="F21" s="14">
        <v>0.42</v>
      </c>
      <c r="G21" s="14">
        <v>0</v>
      </c>
      <c r="H21" s="15">
        <v>91.5</v>
      </c>
      <c r="I21" s="16">
        <v>164663857.5</v>
      </c>
      <c r="J21" s="21">
        <v>0</v>
      </c>
      <c r="K21" s="16">
        <v>0</v>
      </c>
      <c r="L21" s="16">
        <v>0</v>
      </c>
    </row>
    <row r="22" spans="2:12">
      <c r="B22" s="22" t="s">
        <v>196</v>
      </c>
      <c r="C22" s="23">
        <v>1</v>
      </c>
      <c r="D22" s="23">
        <v>4291915</v>
      </c>
      <c r="E22" s="23">
        <v>1605196</v>
      </c>
      <c r="F22" s="24">
        <v>0.374</v>
      </c>
      <c r="G22" s="24">
        <v>0</v>
      </c>
      <c r="H22" s="25">
        <v>89.20999999999999</v>
      </c>
      <c r="I22" s="25">
        <v>143203548.15</v>
      </c>
      <c r="J22" s="23">
        <v>167796</v>
      </c>
      <c r="K22" s="25">
        <v>21734717.85</v>
      </c>
      <c r="L22" s="25">
        <v>21734717.85</v>
      </c>
    </row>
    <row r="23" spans="2:12">
      <c r="B23" t="s">
        <v>197</v>
      </c>
      <c r="C23" s="21">
        <v>2</v>
      </c>
      <c r="D23" s="21">
        <v>4299068</v>
      </c>
      <c r="E23" s="21">
        <v>1440451</v>
      </c>
      <c r="F23" s="14">
        <v>0.3351</v>
      </c>
      <c r="G23" s="14">
        <v>0</v>
      </c>
      <c r="H23" s="15">
        <v>86.92</v>
      </c>
      <c r="I23" s="16">
        <v>125211203.17</v>
      </c>
      <c r="J23" s="21">
        <v>310383</v>
      </c>
      <c r="K23" s="16">
        <v>40001928.83</v>
      </c>
      <c r="L23" s="16">
        <v>61736646.68</v>
      </c>
    </row>
    <row r="24" spans="2:12">
      <c r="B24" s="22" t="s">
        <v>198</v>
      </c>
      <c r="C24" s="23">
        <v>3</v>
      </c>
      <c r="D24" s="23">
        <v>4306233</v>
      </c>
      <c r="E24" s="23">
        <v>1300864</v>
      </c>
      <c r="F24" s="24">
        <v>0.3021</v>
      </c>
      <c r="G24" s="24">
        <v>0</v>
      </c>
      <c r="H24" s="25">
        <v>84.64</v>
      </c>
      <c r="I24" s="25">
        <v>110101876.8</v>
      </c>
      <c r="J24" s="23">
        <v>431590</v>
      </c>
      <c r="K24" s="25">
        <v>55386670.2</v>
      </c>
      <c r="L24" s="25">
        <v>117123316.88</v>
      </c>
    </row>
    <row r="25" spans="2:12">
      <c r="B25" t="s">
        <v>199</v>
      </c>
      <c r="C25" s="21">
        <v>4</v>
      </c>
      <c r="D25" s="21">
        <v>4313410</v>
      </c>
      <c r="E25" s="21">
        <v>1182613</v>
      </c>
      <c r="F25" s="14">
        <v>0.2742</v>
      </c>
      <c r="G25" s="14">
        <v>0</v>
      </c>
      <c r="H25" s="15">
        <v>82.34999999999999</v>
      </c>
      <c r="I25" s="16">
        <v>97388180.55</v>
      </c>
      <c r="J25" s="21">
        <v>534666</v>
      </c>
      <c r="K25" s="16">
        <v>68376147.45</v>
      </c>
      <c r="L25" s="16">
        <v>185499464.33</v>
      </c>
    </row>
    <row r="26" spans="2:12">
      <c r="B26" s="22" t="s">
        <v>200</v>
      </c>
      <c r="C26" s="23">
        <v>5</v>
      </c>
      <c r="D26" s="23">
        <v>4320599</v>
      </c>
      <c r="E26" s="23">
        <v>1082457</v>
      </c>
      <c r="F26" s="24">
        <v>0.2505</v>
      </c>
      <c r="G26" s="24">
        <v>0</v>
      </c>
      <c r="H26" s="25">
        <v>80.06</v>
      </c>
      <c r="I26" s="25">
        <v>86664213.56</v>
      </c>
      <c r="J26" s="23">
        <v>622365</v>
      </c>
      <c r="K26" s="25">
        <v>79376352.94</v>
      </c>
      <c r="L26" s="25">
        <v>264875817.27</v>
      </c>
    </row>
    <row r="27" spans="2:12">
      <c r="B27" t="s">
        <v>201</v>
      </c>
      <c r="C27" s="21">
        <v>6</v>
      </c>
      <c r="D27" s="21">
        <v>4327800</v>
      </c>
      <c r="E27" s="21">
        <v>997648</v>
      </c>
      <c r="F27" s="14">
        <v>0.2305</v>
      </c>
      <c r="G27" s="14">
        <v>0</v>
      </c>
      <c r="H27" s="15">
        <v>77.77</v>
      </c>
      <c r="I27" s="16">
        <v>77592073.2</v>
      </c>
      <c r="J27" s="21">
        <v>697023</v>
      </c>
      <c r="K27" s="16">
        <v>88725280.8</v>
      </c>
      <c r="L27" s="16">
        <v>353601098.07</v>
      </c>
    </row>
    <row r="28" spans="2:12">
      <c r="B28" s="22" t="s">
        <v>202</v>
      </c>
      <c r="C28" s="23">
        <v>7</v>
      </c>
      <c r="D28" s="23">
        <v>4335013</v>
      </c>
      <c r="E28" s="23">
        <v>910643</v>
      </c>
      <c r="F28" s="24">
        <v>0.2101</v>
      </c>
      <c r="G28" s="24">
        <v>0.125</v>
      </c>
      <c r="H28" s="25">
        <v>77.77</v>
      </c>
      <c r="I28" s="25">
        <v>70825259.31999999</v>
      </c>
      <c r="J28" s="23">
        <v>773552</v>
      </c>
      <c r="K28" s="25">
        <v>95769248.18000001</v>
      </c>
      <c r="L28" s="25">
        <v>449370346.25</v>
      </c>
    </row>
    <row r="29" spans="2:12">
      <c r="B29" t="s">
        <v>203</v>
      </c>
      <c r="C29" s="21">
        <v>8</v>
      </c>
      <c r="D29" s="21">
        <v>4342238</v>
      </c>
      <c r="E29" s="21">
        <v>839298</v>
      </c>
      <c r="F29" s="14">
        <v>0.1933</v>
      </c>
      <c r="G29" s="14">
        <v>0.25</v>
      </c>
      <c r="H29" s="15">
        <v>77.77</v>
      </c>
      <c r="I29" s="16">
        <v>65276401.95</v>
      </c>
      <c r="J29" s="21">
        <v>836775</v>
      </c>
      <c r="K29" s="16">
        <v>101595808.05</v>
      </c>
      <c r="L29" s="16">
        <v>550966154.3</v>
      </c>
    </row>
    <row r="30" spans="2:12">
      <c r="B30" s="22" t="s">
        <v>204</v>
      </c>
      <c r="C30" s="23">
        <v>9</v>
      </c>
      <c r="D30" s="23">
        <v>4349476</v>
      </c>
      <c r="E30" s="23">
        <v>780884</v>
      </c>
      <c r="F30" s="24">
        <v>0.1795</v>
      </c>
      <c r="G30" s="24">
        <v>0.375</v>
      </c>
      <c r="H30" s="25">
        <v>77.77</v>
      </c>
      <c r="I30" s="25">
        <v>60733253.1</v>
      </c>
      <c r="J30" s="23">
        <v>889011</v>
      </c>
      <c r="K30" s="25">
        <v>106417025.4</v>
      </c>
      <c r="L30" s="25">
        <v>657383179.6999999</v>
      </c>
    </row>
    <row r="31" spans="2:12">
      <c r="B31" t="s">
        <v>205</v>
      </c>
      <c r="C31" s="21">
        <v>10</v>
      </c>
      <c r="D31" s="21">
        <v>4356725</v>
      </c>
      <c r="E31" s="21">
        <v>733139</v>
      </c>
      <c r="F31" s="14">
        <v>0.1683</v>
      </c>
      <c r="G31" s="14">
        <v>0.5</v>
      </c>
      <c r="H31" s="15">
        <v>77.77</v>
      </c>
      <c r="I31" s="16">
        <v>57019885.72</v>
      </c>
      <c r="J31" s="21">
        <v>932182</v>
      </c>
      <c r="K31" s="16">
        <v>110409010.28</v>
      </c>
      <c r="L31" s="16">
        <v>767792189.9799999</v>
      </c>
    </row>
    <row r="32" spans="2:12">
      <c r="B32" s="22" t="s">
        <v>206</v>
      </c>
      <c r="C32" s="23">
        <v>11</v>
      </c>
      <c r="D32" s="23">
        <v>4363986</v>
      </c>
      <c r="E32" s="23">
        <v>694190</v>
      </c>
      <c r="F32" s="24">
        <v>0.1591</v>
      </c>
      <c r="G32" s="24">
        <v>0.625</v>
      </c>
      <c r="H32" s="25">
        <v>77.77</v>
      </c>
      <c r="I32" s="25">
        <v>53990627.25</v>
      </c>
      <c r="J32" s="23">
        <v>967881</v>
      </c>
      <c r="K32" s="25">
        <v>113717343.75</v>
      </c>
      <c r="L32" s="25">
        <v>881509533.7299999</v>
      </c>
    </row>
    <row r="33" spans="2:12">
      <c r="B33" t="s">
        <v>207</v>
      </c>
      <c r="C33" s="21">
        <v>12</v>
      </c>
      <c r="D33" s="21">
        <v>4371259</v>
      </c>
      <c r="E33" s="21">
        <v>662486</v>
      </c>
      <c r="F33" s="14">
        <v>0.1516</v>
      </c>
      <c r="G33" s="14">
        <v>0.75</v>
      </c>
      <c r="H33" s="15">
        <v>77.77</v>
      </c>
      <c r="I33" s="16">
        <v>51524848.65</v>
      </c>
      <c r="J33" s="21">
        <v>997425</v>
      </c>
      <c r="K33" s="16">
        <v>116462654.85</v>
      </c>
      <c r="L33" s="16">
        <v>997972188.5799999</v>
      </c>
    </row>
    <row r="34" spans="2:12">
      <c r="B34" s="22" t="s">
        <v>208</v>
      </c>
      <c r="C34" s="23">
        <v>13</v>
      </c>
      <c r="D34" s="23">
        <v>4378545</v>
      </c>
      <c r="E34" s="23">
        <v>642407</v>
      </c>
      <c r="F34" s="24">
        <v>0.1467</v>
      </c>
      <c r="G34" s="24">
        <v>0.75</v>
      </c>
      <c r="H34" s="25">
        <v>77.77</v>
      </c>
      <c r="I34" s="25">
        <v>49963204.42</v>
      </c>
      <c r="J34" s="23">
        <v>1017094</v>
      </c>
      <c r="K34" s="25">
        <v>118304197.58</v>
      </c>
      <c r="L34" s="25">
        <v>1116276386.16</v>
      </c>
    </row>
    <row r="35" spans="2:12">
      <c r="B35" t="s">
        <v>209</v>
      </c>
      <c r="C35" s="21">
        <v>14</v>
      </c>
      <c r="D35" s="21">
        <v>4385842</v>
      </c>
      <c r="E35" s="21">
        <v>625513</v>
      </c>
      <c r="F35" s="14">
        <v>0.1426</v>
      </c>
      <c r="G35" s="14">
        <v>0.75</v>
      </c>
      <c r="H35" s="15">
        <v>77.77</v>
      </c>
      <c r="I35" s="16">
        <v>48649273.57</v>
      </c>
      <c r="J35" s="21">
        <v>1034059</v>
      </c>
      <c r="K35" s="16">
        <v>119898575.93</v>
      </c>
      <c r="L35" s="16">
        <v>1236174962.09</v>
      </c>
    </row>
    <row r="36" spans="2:12">
      <c r="B36" s="22" t="s">
        <v>210</v>
      </c>
      <c r="C36" s="23">
        <v>15</v>
      </c>
      <c r="D36" s="23">
        <v>4393152</v>
      </c>
      <c r="E36" s="23">
        <v>611319</v>
      </c>
      <c r="F36" s="24">
        <v>0.1392</v>
      </c>
      <c r="G36" s="24">
        <v>0.75</v>
      </c>
      <c r="H36" s="25">
        <v>77.77</v>
      </c>
      <c r="I36" s="25">
        <v>47545335.22</v>
      </c>
      <c r="J36" s="23">
        <v>1048734</v>
      </c>
      <c r="K36" s="25">
        <v>121283510.78</v>
      </c>
      <c r="L36" s="25">
        <v>1357458472.87</v>
      </c>
    </row>
    <row r="37" spans="2:12">
      <c r="B37" t="s">
        <v>211</v>
      </c>
      <c r="C37" s="21">
        <v>16</v>
      </c>
      <c r="D37" s="21">
        <v>4400474</v>
      </c>
      <c r="E37" s="21">
        <v>599416</v>
      </c>
      <c r="F37" s="14">
        <v>0.1362</v>
      </c>
      <c r="G37" s="14">
        <v>0.75</v>
      </c>
      <c r="H37" s="15">
        <v>77.77</v>
      </c>
      <c r="I37" s="16">
        <v>46619579.4</v>
      </c>
      <c r="J37" s="21">
        <v>1061465</v>
      </c>
      <c r="K37" s="16">
        <v>122490629.1</v>
      </c>
      <c r="L37" s="16">
        <v>1479949101.97</v>
      </c>
    </row>
    <row r="38" spans="2:12">
      <c r="B38" s="22" t="s">
        <v>212</v>
      </c>
      <c r="C38" s="23">
        <v>17</v>
      </c>
      <c r="D38" s="23">
        <v>4407808</v>
      </c>
      <c r="E38" s="23">
        <v>589456</v>
      </c>
      <c r="F38" s="24">
        <v>0.1337</v>
      </c>
      <c r="G38" s="24">
        <v>0.75</v>
      </c>
      <c r="H38" s="25">
        <v>77.77</v>
      </c>
      <c r="I38" s="25">
        <v>45844940.4</v>
      </c>
      <c r="J38" s="23">
        <v>1072549</v>
      </c>
      <c r="K38" s="25">
        <v>123547088.1</v>
      </c>
      <c r="L38" s="25">
        <v>1603496190.07</v>
      </c>
    </row>
    <row r="39" spans="2:12">
      <c r="B39" t="s">
        <v>213</v>
      </c>
      <c r="C39" s="21">
        <v>18</v>
      </c>
      <c r="D39" s="21">
        <v>4415154</v>
      </c>
      <c r="E39" s="21">
        <v>581144</v>
      </c>
      <c r="F39" s="14">
        <v>0.1316</v>
      </c>
      <c r="G39" s="14">
        <v>0.75</v>
      </c>
      <c r="H39" s="15">
        <v>77.77</v>
      </c>
      <c r="I39" s="16">
        <v>45198474.6</v>
      </c>
      <c r="J39" s="21">
        <v>1082237</v>
      </c>
      <c r="K39" s="16">
        <v>124475922.9</v>
      </c>
      <c r="L39" s="16">
        <v>1727972112.97</v>
      </c>
    </row>
    <row r="40" spans="2:12">
      <c r="B40" s="22" t="s">
        <v>214</v>
      </c>
      <c r="C40" s="23">
        <v>19</v>
      </c>
      <c r="D40" s="23">
        <v>4422513</v>
      </c>
      <c r="E40" s="23">
        <v>574231</v>
      </c>
      <c r="F40" s="24">
        <v>0.1298</v>
      </c>
      <c r="G40" s="24">
        <v>0.75</v>
      </c>
      <c r="H40" s="25">
        <v>77.77</v>
      </c>
      <c r="I40" s="25">
        <v>44660816.02</v>
      </c>
      <c r="J40" s="23">
        <v>1090740</v>
      </c>
      <c r="K40" s="25">
        <v>125296316.47</v>
      </c>
      <c r="L40" s="25">
        <v>1853268429.44</v>
      </c>
    </row>
    <row r="41" spans="2:12">
      <c r="B41" t="s">
        <v>215</v>
      </c>
      <c r="C41" s="21">
        <v>20</v>
      </c>
      <c r="D41" s="21">
        <v>4429884</v>
      </c>
      <c r="E41" s="21">
        <v>568503</v>
      </c>
      <c r="F41" s="14">
        <v>0.1283</v>
      </c>
      <c r="G41" s="14">
        <v>0.75</v>
      </c>
      <c r="H41" s="15">
        <v>77.77</v>
      </c>
      <c r="I41" s="16">
        <v>44215320.82</v>
      </c>
      <c r="J41" s="21">
        <v>1098241</v>
      </c>
      <c r="K41" s="16">
        <v>126025095.68</v>
      </c>
      <c r="L41" s="16">
        <v>1979293525.12</v>
      </c>
    </row>
    <row r="42" spans="2:12">
      <c r="B42" s="22" t="s">
        <v>216</v>
      </c>
      <c r="C42" s="23">
        <v>21</v>
      </c>
      <c r="D42" s="23">
        <v>4437267</v>
      </c>
      <c r="E42" s="23">
        <v>563781</v>
      </c>
      <c r="F42" s="24">
        <v>0.1271</v>
      </c>
      <c r="G42" s="24">
        <v>0.75</v>
      </c>
      <c r="H42" s="25">
        <v>77.77</v>
      </c>
      <c r="I42" s="25">
        <v>43848067.27</v>
      </c>
      <c r="J42" s="23">
        <v>1104890</v>
      </c>
      <c r="K42" s="25">
        <v>126676090.72</v>
      </c>
      <c r="L42" s="25">
        <v>2105969615.84</v>
      </c>
    </row>
    <row r="43" spans="2:12">
      <c r="B43" t="s">
        <v>217</v>
      </c>
      <c r="C43" s="21">
        <v>22</v>
      </c>
      <c r="D43" s="21">
        <v>4444662</v>
      </c>
      <c r="E43" s="21">
        <v>559912</v>
      </c>
      <c r="F43" s="14">
        <v>0.126</v>
      </c>
      <c r="G43" s="14">
        <v>0.75</v>
      </c>
      <c r="H43" s="15">
        <v>77.77</v>
      </c>
      <c r="I43" s="16">
        <v>43547155.8</v>
      </c>
      <c r="J43" s="21">
        <v>1110818</v>
      </c>
      <c r="K43" s="16">
        <v>127261201.2</v>
      </c>
      <c r="L43" s="16">
        <v>2233230817.04</v>
      </c>
    </row>
    <row r="44" spans="2:12">
      <c r="B44" s="22" t="s">
        <v>218</v>
      </c>
      <c r="C44" s="23">
        <v>23</v>
      </c>
      <c r="D44" s="23">
        <v>4452070</v>
      </c>
      <c r="E44" s="23">
        <v>556767</v>
      </c>
      <c r="F44" s="24">
        <v>0.1251</v>
      </c>
      <c r="G44" s="24">
        <v>0.75</v>
      </c>
      <c r="H44" s="25">
        <v>77.77</v>
      </c>
      <c r="I44" s="25">
        <v>43302553.42</v>
      </c>
      <c r="J44" s="23">
        <v>1116136</v>
      </c>
      <c r="K44" s="25">
        <v>127790460.08</v>
      </c>
      <c r="L44" s="25">
        <v>2361021277.12</v>
      </c>
    </row>
    <row r="45" spans="2:12">
      <c r="B45" t="s">
        <v>219</v>
      </c>
      <c r="C45" s="21">
        <v>24</v>
      </c>
      <c r="D45" s="21">
        <v>4459490</v>
      </c>
      <c r="E45" s="21">
        <v>554237</v>
      </c>
      <c r="F45" s="14">
        <v>0.1243</v>
      </c>
      <c r="G45" s="14">
        <v>0.75</v>
      </c>
      <c r="H45" s="15">
        <v>77.77</v>
      </c>
      <c r="I45" s="16">
        <v>43105782.67</v>
      </c>
      <c r="J45" s="21">
        <v>1120936</v>
      </c>
      <c r="K45" s="16">
        <v>128272436.33</v>
      </c>
      <c r="L45" s="16">
        <v>2489293713.45</v>
      </c>
    </row>
    <row r="46" spans="2:12">
      <c r="B46" s="22" t="s">
        <v>220</v>
      </c>
      <c r="C46" s="23">
        <v>25</v>
      </c>
      <c r="D46" s="23">
        <v>4466923</v>
      </c>
      <c r="E46" s="23">
        <v>552228</v>
      </c>
      <c r="F46" s="24">
        <v>0.1236</v>
      </c>
      <c r="G46" s="24">
        <v>0.75</v>
      </c>
      <c r="H46" s="25">
        <v>77.77</v>
      </c>
      <c r="I46" s="25">
        <v>42949532.7</v>
      </c>
      <c r="J46" s="23">
        <v>1125297</v>
      </c>
      <c r="K46" s="25">
        <v>128714257.8</v>
      </c>
      <c r="L46" s="25">
        <v>2618007971.25</v>
      </c>
    </row>
    <row r="47" spans="2:12">
      <c r="B47" t="s">
        <v>221</v>
      </c>
      <c r="C47" s="21">
        <v>26</v>
      </c>
      <c r="D47" s="21">
        <v>4474368</v>
      </c>
      <c r="E47" s="21">
        <v>550661</v>
      </c>
      <c r="F47" s="14">
        <v>0.1231</v>
      </c>
      <c r="G47" s="14">
        <v>0.75</v>
      </c>
      <c r="H47" s="15">
        <v>77.77</v>
      </c>
      <c r="I47" s="16">
        <v>42827659.27</v>
      </c>
      <c r="J47" s="21">
        <v>1129287</v>
      </c>
      <c r="K47" s="16">
        <v>129122251.72</v>
      </c>
      <c r="L47" s="16">
        <v>2747130222.97</v>
      </c>
    </row>
    <row r="48" spans="2:12">
      <c r="B48" s="22" t="s">
        <v>222</v>
      </c>
      <c r="C48" s="23">
        <v>27</v>
      </c>
      <c r="D48" s="23">
        <v>4481825</v>
      </c>
      <c r="E48" s="23">
        <v>549469</v>
      </c>
      <c r="F48" s="24">
        <v>0.1226</v>
      </c>
      <c r="G48" s="24">
        <v>0.75</v>
      </c>
      <c r="H48" s="25">
        <v>77.77</v>
      </c>
      <c r="I48" s="25">
        <v>42734951.47</v>
      </c>
      <c r="J48" s="23">
        <v>1132962</v>
      </c>
      <c r="K48" s="25">
        <v>129501537.53</v>
      </c>
      <c r="L48" s="25">
        <v>2876631760.5</v>
      </c>
    </row>
    <row r="49" spans="2:12">
      <c r="B49" t="s">
        <v>223</v>
      </c>
      <c r="C49" s="21">
        <v>28</v>
      </c>
      <c r="D49" s="21">
        <v>4489295</v>
      </c>
      <c r="E49" s="21">
        <v>548595</v>
      </c>
      <c r="F49" s="14">
        <v>0.1222</v>
      </c>
      <c r="G49" s="14">
        <v>0.75</v>
      </c>
      <c r="H49" s="15">
        <v>77.77</v>
      </c>
      <c r="I49" s="16">
        <v>42666976.12</v>
      </c>
      <c r="J49" s="21">
        <v>1136371</v>
      </c>
      <c r="K49" s="16">
        <v>129856548.38</v>
      </c>
      <c r="L49" s="16">
        <v>3006488308.88</v>
      </c>
    </row>
    <row r="50" spans="2:12">
      <c r="B50" s="22" t="s">
        <v>224</v>
      </c>
      <c r="C50" s="23">
        <v>29</v>
      </c>
      <c r="D50" s="23">
        <v>4496777</v>
      </c>
      <c r="E50" s="23">
        <v>547992</v>
      </c>
      <c r="F50" s="24">
        <v>0.1219</v>
      </c>
      <c r="G50" s="24">
        <v>0.75</v>
      </c>
      <c r="H50" s="25">
        <v>77.77</v>
      </c>
      <c r="I50" s="25">
        <v>42620077.8</v>
      </c>
      <c r="J50" s="23">
        <v>1139555</v>
      </c>
      <c r="K50" s="25">
        <v>130191031.2</v>
      </c>
      <c r="L50" s="25">
        <v>3136679340.08</v>
      </c>
    </row>
    <row r="51" spans="2:12">
      <c r="B51" t="s">
        <v>225</v>
      </c>
      <c r="C51" s="21">
        <v>30</v>
      </c>
      <c r="D51" s="21">
        <v>4504271</v>
      </c>
      <c r="E51" s="21">
        <v>547619</v>
      </c>
      <c r="F51" s="14">
        <v>0.1216</v>
      </c>
      <c r="G51" s="14">
        <v>0.75</v>
      </c>
      <c r="H51" s="15">
        <v>77.77</v>
      </c>
      <c r="I51" s="16">
        <v>42591067.72</v>
      </c>
      <c r="J51" s="21">
        <v>1142548</v>
      </c>
      <c r="K51" s="16">
        <v>130508083.28</v>
      </c>
      <c r="L51" s="16">
        <v>3267187423.36</v>
      </c>
    </row>
    <row r="52" spans="2:12">
      <c r="B52" s="22" t="s">
        <v>226</v>
      </c>
      <c r="C52" s="23">
        <v>31</v>
      </c>
      <c r="D52" s="23">
        <v>4511779</v>
      </c>
      <c r="E52" s="23">
        <v>547440</v>
      </c>
      <c r="F52" s="24">
        <v>0.1213</v>
      </c>
      <c r="G52" s="24">
        <v>0.75</v>
      </c>
      <c r="H52" s="25">
        <v>77.77</v>
      </c>
      <c r="I52" s="25">
        <v>42577146</v>
      </c>
      <c r="J52" s="23">
        <v>1145380</v>
      </c>
      <c r="K52" s="25">
        <v>130810504.5</v>
      </c>
      <c r="L52" s="25">
        <v>3397997927.86</v>
      </c>
    </row>
    <row r="53" spans="2:12">
      <c r="B53" t="s">
        <v>227</v>
      </c>
      <c r="C53" s="21">
        <v>32</v>
      </c>
      <c r="D53" s="21">
        <v>4519298</v>
      </c>
      <c r="E53" s="21">
        <v>547427</v>
      </c>
      <c r="F53" s="14">
        <v>0.1211</v>
      </c>
      <c r="G53" s="14">
        <v>0.75</v>
      </c>
      <c r="H53" s="15">
        <v>77.77</v>
      </c>
      <c r="I53" s="16">
        <v>42576134.92</v>
      </c>
      <c r="J53" s="21">
        <v>1148076</v>
      </c>
      <c r="K53" s="16">
        <v>131100472.58</v>
      </c>
      <c r="L53" s="16">
        <v>3529098400.44</v>
      </c>
    </row>
    <row r="54" spans="2:12">
      <c r="B54" s="22" t="s">
        <v>228</v>
      </c>
      <c r="C54" s="23">
        <v>33</v>
      </c>
      <c r="D54" s="23">
        <v>4526830</v>
      </c>
      <c r="E54" s="23">
        <v>547554</v>
      </c>
      <c r="F54" s="24">
        <v>0.121</v>
      </c>
      <c r="G54" s="24">
        <v>0.75</v>
      </c>
      <c r="H54" s="25">
        <v>77.77</v>
      </c>
      <c r="I54" s="25">
        <v>42586012.35</v>
      </c>
      <c r="J54" s="23">
        <v>1150657</v>
      </c>
      <c r="K54" s="25">
        <v>131380009.65</v>
      </c>
      <c r="L54" s="25">
        <v>3660478410.09</v>
      </c>
    </row>
    <row r="55" spans="2:12">
      <c r="B55" t="s">
        <v>229</v>
      </c>
      <c r="C55" s="21">
        <v>34</v>
      </c>
      <c r="D55" s="21">
        <v>4534375</v>
      </c>
      <c r="E55" s="21">
        <v>547801</v>
      </c>
      <c r="F55" s="14">
        <v>0.1208</v>
      </c>
      <c r="G55" s="14">
        <v>0.75</v>
      </c>
      <c r="H55" s="15">
        <v>77.77</v>
      </c>
      <c r="I55" s="16">
        <v>42605222.77</v>
      </c>
      <c r="J55" s="21">
        <v>1153140</v>
      </c>
      <c r="K55" s="16">
        <v>131650762.72</v>
      </c>
      <c r="L55" s="16">
        <v>3792129172.81</v>
      </c>
    </row>
    <row r="56" spans="2:12">
      <c r="B56" s="22" t="s">
        <v>230</v>
      </c>
      <c r="C56" s="23">
        <v>35</v>
      </c>
      <c r="D56" s="23">
        <v>4541932</v>
      </c>
      <c r="E56" s="23">
        <v>548149</v>
      </c>
      <c r="F56" s="24">
        <v>0.1207</v>
      </c>
      <c r="G56" s="24">
        <v>0.75</v>
      </c>
      <c r="H56" s="25">
        <v>77.77</v>
      </c>
      <c r="I56" s="25">
        <v>42632288.47</v>
      </c>
      <c r="J56" s="23">
        <v>1155542</v>
      </c>
      <c r="K56" s="25">
        <v>131914118.03</v>
      </c>
      <c r="L56" s="25">
        <v>3924043290.84</v>
      </c>
    </row>
    <row r="57" spans="2:12">
      <c r="B57" t="s">
        <v>231</v>
      </c>
      <c r="C57" s="21">
        <v>36</v>
      </c>
      <c r="D57" s="21">
        <v>4549502</v>
      </c>
      <c r="E57" s="21">
        <v>548584</v>
      </c>
      <c r="F57" s="14">
        <v>0.1206</v>
      </c>
      <c r="G57" s="14">
        <v>0.75</v>
      </c>
      <c r="H57" s="15">
        <v>77.77</v>
      </c>
      <c r="I57" s="16">
        <v>42666120.6</v>
      </c>
      <c r="J57" s="21">
        <v>1157875</v>
      </c>
      <c r="K57" s="16">
        <v>132171255.9</v>
      </c>
      <c r="L57" s="16">
        <v>4056214546.74</v>
      </c>
    </row>
    <row r="58" spans="2:12">
      <c r="B58" s="22" t="s">
        <v>232</v>
      </c>
      <c r="C58" s="23">
        <v>37</v>
      </c>
      <c r="D58" s="23">
        <v>4557085</v>
      </c>
      <c r="E58" s="23">
        <v>549092</v>
      </c>
      <c r="F58" s="24">
        <v>0.1205</v>
      </c>
      <c r="G58" s="24">
        <v>0.75</v>
      </c>
      <c r="H58" s="25">
        <v>77.77</v>
      </c>
      <c r="I58" s="25">
        <v>42705630.3</v>
      </c>
      <c r="J58" s="23">
        <v>1160150</v>
      </c>
      <c r="K58" s="25">
        <v>132423082.2</v>
      </c>
      <c r="L58" s="25">
        <v>4188637628.94</v>
      </c>
    </row>
    <row r="59" spans="2:12">
      <c r="B59" t="s">
        <v>233</v>
      </c>
      <c r="C59" s="21">
        <v>38</v>
      </c>
      <c r="D59" s="21">
        <v>4564680</v>
      </c>
      <c r="E59" s="21">
        <v>549663</v>
      </c>
      <c r="F59" s="14">
        <v>0.1204</v>
      </c>
      <c r="G59" s="14">
        <v>0.75</v>
      </c>
      <c r="H59" s="15">
        <v>77.77</v>
      </c>
      <c r="I59" s="16">
        <v>42750039.82</v>
      </c>
      <c r="J59" s="21">
        <v>1162376</v>
      </c>
      <c r="K59" s="16">
        <v>132670557.68</v>
      </c>
      <c r="L59" s="16">
        <v>4321308186.62</v>
      </c>
    </row>
    <row r="60" spans="2:12">
      <c r="B60" s="22" t="s">
        <v>234</v>
      </c>
      <c r="C60" s="23">
        <v>39</v>
      </c>
      <c r="D60" s="23">
        <v>4572288</v>
      </c>
      <c r="E60" s="23">
        <v>550287</v>
      </c>
      <c r="F60" s="24">
        <v>0.1204</v>
      </c>
      <c r="G60" s="24">
        <v>0.75</v>
      </c>
      <c r="H60" s="25">
        <v>77.77</v>
      </c>
      <c r="I60" s="25">
        <v>42798571.42</v>
      </c>
      <c r="J60" s="23">
        <v>1164562</v>
      </c>
      <c r="K60" s="25">
        <v>132914460.08</v>
      </c>
      <c r="L60" s="25">
        <v>4454222646.7</v>
      </c>
    </row>
    <row r="61" spans="2:12">
      <c r="B61" t="s">
        <v>235</v>
      </c>
      <c r="C61" s="21">
        <v>40</v>
      </c>
      <c r="D61" s="21">
        <v>4579908</v>
      </c>
      <c r="E61" s="21">
        <v>550957</v>
      </c>
      <c r="F61" s="14">
        <v>0.1203</v>
      </c>
      <c r="G61" s="14">
        <v>0.75</v>
      </c>
      <c r="H61" s="15">
        <v>77.77</v>
      </c>
      <c r="I61" s="16">
        <v>42850680.67</v>
      </c>
      <c r="J61" s="21">
        <v>1166713</v>
      </c>
      <c r="K61" s="16">
        <v>133155150.83</v>
      </c>
      <c r="L61" s="16">
        <v>4587377797.53</v>
      </c>
    </row>
    <row r="62" spans="2:12">
      <c r="B62" s="22" t="s">
        <v>236</v>
      </c>
      <c r="C62" s="23">
        <v>41</v>
      </c>
      <c r="D62" s="23">
        <v>4587541</v>
      </c>
      <c r="E62" s="23">
        <v>551665</v>
      </c>
      <c r="F62" s="24">
        <v>0.1203</v>
      </c>
      <c r="G62" s="24">
        <v>0.75</v>
      </c>
      <c r="H62" s="25">
        <v>77.77</v>
      </c>
      <c r="I62" s="25">
        <v>42905745.37</v>
      </c>
      <c r="J62" s="23">
        <v>1168836</v>
      </c>
      <c r="K62" s="25">
        <v>133393435.12</v>
      </c>
      <c r="L62" s="25">
        <v>4720771232.65</v>
      </c>
    </row>
    <row r="63" spans="2:12">
      <c r="B63" t="s">
        <v>237</v>
      </c>
      <c r="C63" s="21">
        <v>42</v>
      </c>
      <c r="D63" s="21">
        <v>4595187</v>
      </c>
      <c r="E63" s="21">
        <v>552406</v>
      </c>
      <c r="F63" s="14">
        <v>0.1202</v>
      </c>
      <c r="G63" s="14">
        <v>0.75</v>
      </c>
      <c r="H63" s="15">
        <v>77.77</v>
      </c>
      <c r="I63" s="16">
        <v>42963376.65</v>
      </c>
      <c r="J63" s="21">
        <v>1170936</v>
      </c>
      <c r="K63" s="16">
        <v>133629610.35</v>
      </c>
      <c r="L63" s="16">
        <v>4854400843</v>
      </c>
    </row>
    <row r="64" spans="2:12">
      <c r="B64" s="22" t="s">
        <v>238</v>
      </c>
      <c r="C64" s="23">
        <v>43</v>
      </c>
      <c r="D64" s="23">
        <v>4602846</v>
      </c>
      <c r="E64" s="23">
        <v>553176</v>
      </c>
      <c r="F64" s="24">
        <v>0.1202</v>
      </c>
      <c r="G64" s="24">
        <v>0.75</v>
      </c>
      <c r="H64" s="25">
        <v>77.77</v>
      </c>
      <c r="I64" s="25">
        <v>43023263.4</v>
      </c>
      <c r="J64" s="23">
        <v>1173016</v>
      </c>
      <c r="K64" s="25">
        <v>133864079.1</v>
      </c>
      <c r="L64" s="25">
        <v>4988264922.1</v>
      </c>
    </row>
    <row r="65" spans="2:12">
      <c r="B65" t="s">
        <v>239</v>
      </c>
      <c r="C65" s="21">
        <v>44</v>
      </c>
      <c r="D65" s="21">
        <v>4610517</v>
      </c>
      <c r="E65" s="21">
        <v>553969</v>
      </c>
      <c r="F65" s="14">
        <v>0.1202</v>
      </c>
      <c r="G65" s="14">
        <v>0.75</v>
      </c>
      <c r="H65" s="15">
        <v>77.77</v>
      </c>
      <c r="I65" s="16">
        <v>43084938.97</v>
      </c>
      <c r="J65" s="21">
        <v>1175080</v>
      </c>
      <c r="K65" s="16">
        <v>134097216.53</v>
      </c>
      <c r="L65" s="16">
        <v>5122362138.63</v>
      </c>
    </row>
    <row r="66" spans="2:12">
      <c r="B66" s="22" t="s">
        <v>240</v>
      </c>
      <c r="C66" s="23">
        <v>45</v>
      </c>
      <c r="D66" s="23">
        <v>4618201</v>
      </c>
      <c r="E66" s="23">
        <v>554784</v>
      </c>
      <c r="F66" s="24">
        <v>0.1201</v>
      </c>
      <c r="G66" s="24">
        <v>0.75</v>
      </c>
      <c r="H66" s="25">
        <v>77.77</v>
      </c>
      <c r="I66" s="25">
        <v>43148325.6</v>
      </c>
      <c r="J66" s="23">
        <v>1177131</v>
      </c>
      <c r="K66" s="25">
        <v>134329100.4</v>
      </c>
      <c r="L66" s="25">
        <v>5256691239.03</v>
      </c>
    </row>
    <row r="67" spans="2:12">
      <c r="B67" t="s">
        <v>241</v>
      </c>
      <c r="C67" s="21">
        <v>46</v>
      </c>
      <c r="D67" s="21">
        <v>4625898</v>
      </c>
      <c r="E67" s="21">
        <v>555616</v>
      </c>
      <c r="F67" s="14">
        <v>0.1201</v>
      </c>
      <c r="G67" s="14">
        <v>0.75</v>
      </c>
      <c r="H67" s="15">
        <v>77.77</v>
      </c>
      <c r="I67" s="16">
        <v>43213034.4</v>
      </c>
      <c r="J67" s="21">
        <v>1179171</v>
      </c>
      <c r="K67" s="16">
        <v>134560211.1</v>
      </c>
      <c r="L67" s="16">
        <v>5391251450.13</v>
      </c>
    </row>
    <row r="68" spans="2:12">
      <c r="B68" s="22" t="s">
        <v>242</v>
      </c>
      <c r="C68" s="23">
        <v>47</v>
      </c>
      <c r="D68" s="23">
        <v>4633608</v>
      </c>
      <c r="E68" s="23">
        <v>556464</v>
      </c>
      <c r="F68" s="24">
        <v>0.1201</v>
      </c>
      <c r="G68" s="24">
        <v>0.75</v>
      </c>
      <c r="H68" s="25">
        <v>77.77</v>
      </c>
      <c r="I68" s="25">
        <v>43278987.6</v>
      </c>
      <c r="J68" s="23">
        <v>1181203</v>
      </c>
      <c r="K68" s="25">
        <v>134790534.9</v>
      </c>
      <c r="L68" s="25">
        <v>5526041985.03</v>
      </c>
    </row>
    <row r="69" spans="2:12">
      <c r="B69" t="s">
        <v>243</v>
      </c>
      <c r="C69" s="21">
        <v>48</v>
      </c>
      <c r="D69" s="21">
        <v>4641331</v>
      </c>
      <c r="E69" s="21">
        <v>557325</v>
      </c>
      <c r="F69" s="14">
        <v>0.1201</v>
      </c>
      <c r="G69" s="14">
        <v>0.75</v>
      </c>
      <c r="H69" s="15">
        <v>77.77</v>
      </c>
      <c r="I69" s="16">
        <v>43345951.87</v>
      </c>
      <c r="J69" s="21">
        <v>1183228</v>
      </c>
      <c r="K69" s="16">
        <v>135020396.62</v>
      </c>
      <c r="L69" s="16">
        <v>5661062381.65</v>
      </c>
    </row>
    <row r="70" spans="2:12">
      <c r="B70" s="22" t="s">
        <v>244</v>
      </c>
      <c r="C70" s="23">
        <v>49</v>
      </c>
      <c r="D70" s="23">
        <v>4649067</v>
      </c>
      <c r="E70" s="23">
        <v>558198</v>
      </c>
      <c r="F70" s="24">
        <v>0.1201</v>
      </c>
      <c r="G70" s="24">
        <v>0.75</v>
      </c>
      <c r="H70" s="25">
        <v>77.77</v>
      </c>
      <c r="I70" s="25">
        <v>43413849.45</v>
      </c>
      <c r="J70" s="23">
        <v>1185248</v>
      </c>
      <c r="K70" s="25">
        <v>135249782.55</v>
      </c>
      <c r="L70" s="25">
        <v>5796312164.2</v>
      </c>
    </row>
    <row r="71" spans="2:12">
      <c r="B71" t="s">
        <v>245</v>
      </c>
      <c r="C71" s="21">
        <v>50</v>
      </c>
      <c r="D71" s="21">
        <v>4656815</v>
      </c>
      <c r="E71" s="21">
        <v>559081</v>
      </c>
      <c r="F71" s="14">
        <v>0.1201</v>
      </c>
      <c r="G71" s="14">
        <v>0.75</v>
      </c>
      <c r="H71" s="15">
        <v>77.77</v>
      </c>
      <c r="I71" s="16">
        <v>43482524.77</v>
      </c>
      <c r="J71" s="21">
        <v>1187264</v>
      </c>
      <c r="K71" s="16">
        <v>135478848.22</v>
      </c>
      <c r="L71" s="16">
        <v>5931791012.42</v>
      </c>
    </row>
    <row r="72" spans="2:12">
      <c r="B72" s="22" t="s">
        <v>246</v>
      </c>
      <c r="C72" s="23">
        <v>51</v>
      </c>
      <c r="D72" s="23">
        <v>4664576</v>
      </c>
      <c r="E72" s="23">
        <v>559972</v>
      </c>
      <c r="F72" s="24">
        <v>0.12</v>
      </c>
      <c r="G72" s="24">
        <v>0.75</v>
      </c>
      <c r="H72" s="25">
        <v>77.77</v>
      </c>
      <c r="I72" s="25">
        <v>43551822.3</v>
      </c>
      <c r="J72" s="23">
        <v>1189277</v>
      </c>
      <c r="K72" s="25">
        <v>135707840.7</v>
      </c>
      <c r="L72" s="25">
        <v>6067498853.12</v>
      </c>
    </row>
    <row r="73" spans="2:12">
      <c r="B73" t="s">
        <v>247</v>
      </c>
      <c r="C73" s="21">
        <v>52</v>
      </c>
      <c r="D73" s="21">
        <v>4672351</v>
      </c>
      <c r="E73" s="21">
        <v>560871</v>
      </c>
      <c r="F73" s="14">
        <v>0.12</v>
      </c>
      <c r="G73" s="14">
        <v>0.75</v>
      </c>
      <c r="H73" s="15">
        <v>77.77</v>
      </c>
      <c r="I73" s="16">
        <v>43621742.02</v>
      </c>
      <c r="J73" s="21">
        <v>1191288</v>
      </c>
      <c r="K73" s="16">
        <v>135936668.47</v>
      </c>
      <c r="L73" s="16">
        <v>6203435521.59</v>
      </c>
    </row>
    <row r="74" spans="2:12">
      <c r="B74" s="22" t="s">
        <v>248</v>
      </c>
      <c r="C74" s="23">
        <v>53</v>
      </c>
      <c r="D74" s="23">
        <v>4680138</v>
      </c>
      <c r="E74" s="23">
        <v>561777</v>
      </c>
      <c r="F74" s="24">
        <v>0.12</v>
      </c>
      <c r="G74" s="24">
        <v>0.75</v>
      </c>
      <c r="H74" s="25">
        <v>77.77</v>
      </c>
      <c r="I74" s="25">
        <v>43692206.17</v>
      </c>
      <c r="J74" s="23">
        <v>1193298</v>
      </c>
      <c r="K74" s="25">
        <v>136165500.82</v>
      </c>
      <c r="L74" s="25">
        <v>6339601022.41</v>
      </c>
    </row>
    <row r="75" spans="2:12">
      <c r="B75" t="s">
        <v>249</v>
      </c>
      <c r="C75" s="21">
        <v>54</v>
      </c>
      <c r="D75" s="21">
        <v>4687938</v>
      </c>
      <c r="E75" s="21">
        <v>562688</v>
      </c>
      <c r="F75" s="14">
        <v>0.12</v>
      </c>
      <c r="G75" s="14">
        <v>0.75</v>
      </c>
      <c r="H75" s="15">
        <v>77.77</v>
      </c>
      <c r="I75" s="16">
        <v>43763059.2</v>
      </c>
      <c r="J75" s="21">
        <v>1195308</v>
      </c>
      <c r="K75" s="16">
        <v>136394401.8</v>
      </c>
      <c r="L75" s="16">
        <v>6475995424.21</v>
      </c>
    </row>
    <row r="76" spans="2:12">
      <c r="B76" s="22" t="s">
        <v>250</v>
      </c>
      <c r="C76" s="23">
        <v>55</v>
      </c>
      <c r="D76" s="23">
        <v>4695751</v>
      </c>
      <c r="E76" s="23">
        <v>563605</v>
      </c>
      <c r="F76" s="24">
        <v>0.12</v>
      </c>
      <c r="G76" s="24">
        <v>0.75</v>
      </c>
      <c r="H76" s="25">
        <v>77.77</v>
      </c>
      <c r="I76" s="25">
        <v>43834378.87</v>
      </c>
      <c r="J76" s="23">
        <v>1197318</v>
      </c>
      <c r="K76" s="25">
        <v>136623293.62</v>
      </c>
      <c r="L76" s="25">
        <v>6612618717.83</v>
      </c>
    </row>
    <row r="77" spans="2:12">
      <c r="B77" t="s">
        <v>251</v>
      </c>
      <c r="C77" s="21">
        <v>56</v>
      </c>
      <c r="D77" s="21">
        <v>4703578</v>
      </c>
      <c r="E77" s="21">
        <v>564527</v>
      </c>
      <c r="F77" s="14">
        <v>0.12</v>
      </c>
      <c r="G77" s="14">
        <v>0.75</v>
      </c>
      <c r="H77" s="15">
        <v>77.77</v>
      </c>
      <c r="I77" s="16">
        <v>43906087.42</v>
      </c>
      <c r="J77" s="21">
        <v>1199329</v>
      </c>
      <c r="K77" s="16">
        <v>136852345.57</v>
      </c>
      <c r="L77" s="16">
        <v>6749471063.4</v>
      </c>
    </row>
    <row r="78" spans="2:12">
      <c r="B78" s="22" t="s">
        <v>252</v>
      </c>
      <c r="C78" s="23">
        <v>57</v>
      </c>
      <c r="D78" s="23">
        <v>4711417</v>
      </c>
      <c r="E78" s="23">
        <v>565453</v>
      </c>
      <c r="F78" s="24">
        <v>0.12</v>
      </c>
      <c r="G78" s="24">
        <v>0.75</v>
      </c>
      <c r="H78" s="25">
        <v>77.77</v>
      </c>
      <c r="I78" s="25">
        <v>43978107.07</v>
      </c>
      <c r="J78" s="23">
        <v>1201340</v>
      </c>
      <c r="K78" s="25">
        <v>137081635.43</v>
      </c>
      <c r="L78" s="25">
        <v>6886552698.83</v>
      </c>
    </row>
    <row r="79" spans="2:12">
      <c r="B79" t="s">
        <v>253</v>
      </c>
      <c r="C79" s="21">
        <v>58</v>
      </c>
      <c r="D79" s="21">
        <v>4719269</v>
      </c>
      <c r="E79" s="21">
        <v>566382</v>
      </c>
      <c r="F79" s="14">
        <v>0.12</v>
      </c>
      <c r="G79" s="14">
        <v>0.75</v>
      </c>
      <c r="H79" s="15">
        <v>77.77</v>
      </c>
      <c r="I79" s="16">
        <v>44050360.05</v>
      </c>
      <c r="J79" s="21">
        <v>1203353</v>
      </c>
      <c r="K79" s="16">
        <v>137311149.45</v>
      </c>
      <c r="L79" s="16">
        <v>7023863848.28</v>
      </c>
    </row>
    <row r="80" spans="2:12">
      <c r="B80" s="22" t="s">
        <v>254</v>
      </c>
      <c r="C80" s="23">
        <v>59</v>
      </c>
      <c r="D80" s="23">
        <v>4727135</v>
      </c>
      <c r="E80" s="23">
        <v>567316</v>
      </c>
      <c r="F80" s="24">
        <v>0.12</v>
      </c>
      <c r="G80" s="24">
        <v>0.75</v>
      </c>
      <c r="H80" s="25">
        <v>77.77</v>
      </c>
      <c r="I80" s="25">
        <v>44123001.9</v>
      </c>
      <c r="J80" s="23">
        <v>1205368</v>
      </c>
      <c r="K80" s="25">
        <v>137540732.1</v>
      </c>
      <c r="L80" s="25">
        <v>7161404580.38</v>
      </c>
    </row>
  </sheetData>
  <mergeCells count="9">
    <mergeCell ref="B2:K2"/>
    <mergeCell ref="B4:C4"/>
    <mergeCell ref="B5:C5"/>
    <mergeCell ref="D4:E4"/>
    <mergeCell ref="D5:E5"/>
    <mergeCell ref="F4:G4"/>
    <mergeCell ref="F5:G5"/>
    <mergeCell ref="H4:I4"/>
    <mergeCell ref="H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</sheetPr>
  <dimension ref="B2:P7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6" width="14.7109375" customWidth="1"/>
  </cols>
  <sheetData>
    <row r="2" spans="2:16">
      <c r="B2" s="1" t="s">
        <v>255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6">
      <c r="B4" s="17" t="s">
        <v>256</v>
      </c>
      <c r="C4" s="17"/>
      <c r="D4" s="17" t="s">
        <v>257</v>
      </c>
      <c r="E4" s="17"/>
      <c r="F4" s="17" t="s">
        <v>258</v>
      </c>
      <c r="G4" s="17"/>
      <c r="H4" s="17" t="s">
        <v>259</v>
      </c>
      <c r="I4" s="17"/>
      <c r="J4" s="17" t="s">
        <v>260</v>
      </c>
      <c r="K4" s="17"/>
    </row>
    <row r="5" spans="2:16">
      <c r="B5" s="26">
        <v>67402845.31</v>
      </c>
      <c r="C5" s="26"/>
      <c r="D5" s="26">
        <v>940339624.1399999</v>
      </c>
      <c r="E5" s="26"/>
      <c r="F5" s="26">
        <v>692754718.11</v>
      </c>
      <c r="G5" s="26"/>
      <c r="H5" s="27">
        <v>0.102</v>
      </c>
      <c r="I5" s="27"/>
      <c r="J5" s="28" t="s">
        <v>261</v>
      </c>
      <c r="K5" s="28"/>
    </row>
    <row r="7" spans="2:16">
      <c r="B7" s="10" t="s">
        <v>262</v>
      </c>
      <c r="C7" s="10"/>
      <c r="D7" s="10"/>
      <c r="E7" s="10"/>
      <c r="F7" s="10"/>
      <c r="G7" s="10"/>
    </row>
    <row r="8" spans="2:16">
      <c r="B8" s="17" t="s">
        <v>263</v>
      </c>
      <c r="C8" s="27">
        <v>0.4488724673100167</v>
      </c>
      <c r="D8" s="17" t="s">
        <v>264</v>
      </c>
      <c r="E8" s="27">
        <v>0.2848367131681429</v>
      </c>
      <c r="F8" s="17" t="s">
        <v>265</v>
      </c>
      <c r="G8" s="27">
        <v>0.2662908195218405</v>
      </c>
    </row>
    <row r="10" spans="2:16" ht="35" customHeight="1">
      <c r="B10" s="29" t="s">
        <v>172</v>
      </c>
      <c r="C10" s="29" t="s">
        <v>173</v>
      </c>
      <c r="D10" s="29" t="s">
        <v>174</v>
      </c>
      <c r="E10" s="29" t="s">
        <v>266</v>
      </c>
      <c r="F10" s="29" t="s">
        <v>267</v>
      </c>
      <c r="G10" s="29" t="s">
        <v>268</v>
      </c>
      <c r="H10" s="29" t="s">
        <v>269</v>
      </c>
      <c r="I10" s="29" t="s">
        <v>270</v>
      </c>
      <c r="J10" s="29" t="s">
        <v>177</v>
      </c>
      <c r="K10" s="29" t="s">
        <v>178</v>
      </c>
      <c r="L10" s="29" t="s">
        <v>271</v>
      </c>
      <c r="M10" s="29" t="s">
        <v>272</v>
      </c>
      <c r="N10" s="29" t="s">
        <v>273</v>
      </c>
      <c r="O10" s="29" t="s">
        <v>274</v>
      </c>
      <c r="P10" s="29" t="s">
        <v>275</v>
      </c>
    </row>
    <row r="11" spans="2:16">
      <c r="B11" t="s">
        <v>195</v>
      </c>
      <c r="C11" s="21">
        <v>0</v>
      </c>
      <c r="D11" s="21">
        <v>4200000</v>
      </c>
      <c r="E11" s="21">
        <v>9129</v>
      </c>
      <c r="F11" s="21">
        <v>0</v>
      </c>
      <c r="G11" s="21">
        <v>0</v>
      </c>
      <c r="H11" s="21">
        <v>9129</v>
      </c>
      <c r="I11" s="14">
        <v>0.0022</v>
      </c>
      <c r="J11" s="14">
        <v>0</v>
      </c>
      <c r="K11" s="15">
        <v>50.33</v>
      </c>
      <c r="L11" s="16">
        <v>459416.93</v>
      </c>
      <c r="M11" s="16">
        <v>114854.23</v>
      </c>
      <c r="N11" s="16">
        <v>-355437.31</v>
      </c>
      <c r="O11" s="16">
        <v>459416.93</v>
      </c>
      <c r="P11" s="16">
        <v>-355437.31</v>
      </c>
    </row>
    <row r="12" spans="2:16">
      <c r="B12" s="22" t="s">
        <v>196</v>
      </c>
      <c r="C12" s="23">
        <v>1</v>
      </c>
      <c r="D12" s="23">
        <v>4207000</v>
      </c>
      <c r="E12" s="23">
        <v>12527</v>
      </c>
      <c r="F12" s="23">
        <v>0</v>
      </c>
      <c r="G12" s="23">
        <v>0</v>
      </c>
      <c r="H12" s="23">
        <v>12527</v>
      </c>
      <c r="I12" s="24">
        <v>0.003</v>
      </c>
      <c r="J12" s="24">
        <v>0</v>
      </c>
      <c r="K12" s="25">
        <v>50.05</v>
      </c>
      <c r="L12" s="25">
        <v>626982.61</v>
      </c>
      <c r="M12" s="25">
        <v>156745.65</v>
      </c>
      <c r="N12" s="25">
        <v>270236.96</v>
      </c>
      <c r="O12" s="25">
        <v>1086399.54</v>
      </c>
      <c r="P12" s="25">
        <v>-85200.35000000001</v>
      </c>
    </row>
    <row r="13" spans="2:16">
      <c r="B13" t="s">
        <v>197</v>
      </c>
      <c r="C13" s="21">
        <v>2</v>
      </c>
      <c r="D13" s="21">
        <v>4214011</v>
      </c>
      <c r="E13" s="21">
        <v>17073</v>
      </c>
      <c r="F13" s="21">
        <v>0</v>
      </c>
      <c r="G13" s="21">
        <v>0</v>
      </c>
      <c r="H13" s="21">
        <v>17073</v>
      </c>
      <c r="I13" s="14">
        <v>0.0041</v>
      </c>
      <c r="J13" s="14">
        <v>0</v>
      </c>
      <c r="K13" s="15">
        <v>49.78</v>
      </c>
      <c r="L13" s="16">
        <v>849825.65</v>
      </c>
      <c r="M13" s="16">
        <v>212456.41</v>
      </c>
      <c r="N13" s="16">
        <v>437369.24</v>
      </c>
      <c r="O13" s="16">
        <v>1936225.19</v>
      </c>
      <c r="P13" s="16">
        <v>352168.89</v>
      </c>
    </row>
    <row r="14" spans="2:16">
      <c r="B14" s="22" t="s">
        <v>198</v>
      </c>
      <c r="C14" s="23">
        <v>3</v>
      </c>
      <c r="D14" s="23">
        <v>4221035</v>
      </c>
      <c r="E14" s="23">
        <v>23061</v>
      </c>
      <c r="F14" s="23">
        <v>0</v>
      </c>
      <c r="G14" s="23">
        <v>0</v>
      </c>
      <c r="H14" s="23">
        <v>23061</v>
      </c>
      <c r="I14" s="24">
        <v>0.0055</v>
      </c>
      <c r="J14" s="24">
        <v>0</v>
      </c>
      <c r="K14" s="25">
        <v>49.5</v>
      </c>
      <c r="L14" s="25">
        <v>1141554.09</v>
      </c>
      <c r="M14" s="25">
        <v>285388.52</v>
      </c>
      <c r="N14" s="25">
        <v>656165.5699999999</v>
      </c>
      <c r="O14" s="25">
        <v>3077779.28</v>
      </c>
      <c r="P14" s="25">
        <v>1008334.46</v>
      </c>
    </row>
    <row r="15" spans="2:16">
      <c r="B15" t="s">
        <v>199</v>
      </c>
      <c r="C15" s="21">
        <v>4</v>
      </c>
      <c r="D15" s="21">
        <v>4228070</v>
      </c>
      <c r="E15" s="21">
        <v>30786</v>
      </c>
      <c r="F15" s="21">
        <v>0</v>
      </c>
      <c r="G15" s="21">
        <v>2901</v>
      </c>
      <c r="H15" s="21">
        <v>33687</v>
      </c>
      <c r="I15" s="14">
        <v>0.008</v>
      </c>
      <c r="J15" s="14">
        <v>0</v>
      </c>
      <c r="K15" s="15">
        <v>49.23</v>
      </c>
      <c r="L15" s="16">
        <v>1658309.95</v>
      </c>
      <c r="M15" s="16">
        <v>414577.49</v>
      </c>
      <c r="N15" s="16">
        <v>1043732.46</v>
      </c>
      <c r="O15" s="16">
        <v>4736089.23</v>
      </c>
      <c r="P15" s="16">
        <v>2052066.92</v>
      </c>
    </row>
    <row r="16" spans="2:16">
      <c r="B16" s="22" t="s">
        <v>200</v>
      </c>
      <c r="C16" s="23">
        <v>5</v>
      </c>
      <c r="D16" s="23">
        <v>4235116</v>
      </c>
      <c r="E16" s="23">
        <v>40492</v>
      </c>
      <c r="F16" s="23">
        <v>0</v>
      </c>
      <c r="G16" s="23">
        <v>7632</v>
      </c>
      <c r="H16" s="23">
        <v>48124</v>
      </c>
      <c r="I16" s="24">
        <v>0.0114</v>
      </c>
      <c r="J16" s="24">
        <v>0</v>
      </c>
      <c r="K16" s="25">
        <v>48.95</v>
      </c>
      <c r="L16" s="25">
        <v>2355790.11</v>
      </c>
      <c r="M16" s="25">
        <v>588947.53</v>
      </c>
      <c r="N16" s="25">
        <v>1566842.58</v>
      </c>
      <c r="O16" s="25">
        <v>7091879.34</v>
      </c>
      <c r="P16" s="25">
        <v>3618909.5</v>
      </c>
    </row>
    <row r="17" spans="2:16">
      <c r="B17" t="s">
        <v>201</v>
      </c>
      <c r="C17" s="21">
        <v>6</v>
      </c>
      <c r="D17" s="21">
        <v>4242175</v>
      </c>
      <c r="E17" s="21">
        <v>52291</v>
      </c>
      <c r="F17" s="21">
        <v>0</v>
      </c>
      <c r="G17" s="21">
        <v>14785</v>
      </c>
      <c r="H17" s="21">
        <v>67076</v>
      </c>
      <c r="I17" s="14">
        <v>0.0158</v>
      </c>
      <c r="J17" s="14">
        <v>0</v>
      </c>
      <c r="K17" s="15">
        <v>48.68</v>
      </c>
      <c r="L17" s="16">
        <v>3265125.53</v>
      </c>
      <c r="M17" s="16">
        <v>816281.38</v>
      </c>
      <c r="N17" s="16">
        <v>2248844.15</v>
      </c>
      <c r="O17" s="16">
        <v>10357004.87</v>
      </c>
      <c r="P17" s="16">
        <v>5867753.65</v>
      </c>
    </row>
    <row r="18" spans="2:16">
      <c r="B18" s="22" t="s">
        <v>202</v>
      </c>
      <c r="C18" s="23">
        <v>7</v>
      </c>
      <c r="D18" s="23">
        <v>4249245</v>
      </c>
      <c r="E18" s="23">
        <v>66070</v>
      </c>
      <c r="F18" s="23">
        <v>44221</v>
      </c>
      <c r="G18" s="23">
        <v>24908</v>
      </c>
      <c r="H18" s="23">
        <v>135199</v>
      </c>
      <c r="I18" s="24">
        <v>0.0318</v>
      </c>
      <c r="J18" s="24">
        <v>0.125</v>
      </c>
      <c r="K18" s="25">
        <v>48.4</v>
      </c>
      <c r="L18" s="25">
        <v>6544104.8</v>
      </c>
      <c r="M18" s="25">
        <v>1636026.2</v>
      </c>
      <c r="N18" s="25">
        <v>4708078.6</v>
      </c>
      <c r="O18" s="25">
        <v>16901109.66</v>
      </c>
      <c r="P18" s="25">
        <v>10575832.25</v>
      </c>
    </row>
    <row r="19" spans="2:16">
      <c r="B19" t="s">
        <v>203</v>
      </c>
      <c r="C19" s="21">
        <v>8</v>
      </c>
      <c r="D19" s="21">
        <v>4256327</v>
      </c>
      <c r="E19" s="21">
        <v>81432</v>
      </c>
      <c r="F19" s="21">
        <v>78107</v>
      </c>
      <c r="G19" s="21">
        <v>38374</v>
      </c>
      <c r="H19" s="21">
        <v>197913</v>
      </c>
      <c r="I19" s="14">
        <v>0.0465</v>
      </c>
      <c r="J19" s="14">
        <v>0.25</v>
      </c>
      <c r="K19" s="15">
        <v>48.13</v>
      </c>
      <c r="L19" s="16">
        <v>9525354.779999999</v>
      </c>
      <c r="M19" s="16">
        <v>2381338.69</v>
      </c>
      <c r="N19" s="16">
        <v>6944016.08</v>
      </c>
      <c r="O19" s="16">
        <v>26426464.44</v>
      </c>
      <c r="P19" s="16">
        <v>17519848.33</v>
      </c>
    </row>
    <row r="20" spans="2:16">
      <c r="B20" s="22" t="s">
        <v>204</v>
      </c>
      <c r="C20" s="23">
        <v>9</v>
      </c>
      <c r="D20" s="23">
        <v>4263421</v>
      </c>
      <c r="E20" s="23">
        <v>97703</v>
      </c>
      <c r="F20" s="23">
        <v>100723</v>
      </c>
      <c r="G20" s="23">
        <v>55251</v>
      </c>
      <c r="H20" s="23">
        <v>253677</v>
      </c>
      <c r="I20" s="24">
        <v>0.0595</v>
      </c>
      <c r="J20" s="24">
        <v>0.375</v>
      </c>
      <c r="K20" s="25">
        <v>47.85</v>
      </c>
      <c r="L20" s="25">
        <v>12139586</v>
      </c>
      <c r="M20" s="25">
        <v>3034896.5</v>
      </c>
      <c r="N20" s="25">
        <v>8904689.5</v>
      </c>
      <c r="O20" s="25">
        <v>38566050.44</v>
      </c>
      <c r="P20" s="25">
        <v>26424537.83</v>
      </c>
    </row>
    <row r="21" spans="2:16">
      <c r="B21" t="s">
        <v>205</v>
      </c>
      <c r="C21" s="21">
        <v>10</v>
      </c>
      <c r="D21" s="21">
        <v>4270527</v>
      </c>
      <c r="E21" s="21">
        <v>114027</v>
      </c>
      <c r="F21" s="21">
        <v>112306</v>
      </c>
      <c r="G21" s="21">
        <v>64482</v>
      </c>
      <c r="H21" s="21">
        <v>290815</v>
      </c>
      <c r="I21" s="14">
        <v>0.06809999999999999</v>
      </c>
      <c r="J21" s="14">
        <v>0.5</v>
      </c>
      <c r="K21" s="15">
        <v>47.58</v>
      </c>
      <c r="L21" s="16">
        <v>13836977.7</v>
      </c>
      <c r="M21" s="16">
        <v>3459244.42</v>
      </c>
      <c r="N21" s="16">
        <v>10177733.27</v>
      </c>
      <c r="O21" s="16">
        <v>52403028.14</v>
      </c>
      <c r="P21" s="16">
        <v>36602271.1</v>
      </c>
    </row>
    <row r="22" spans="2:16">
      <c r="B22" s="22" t="s">
        <v>206</v>
      </c>
      <c r="C22" s="23">
        <v>11</v>
      </c>
      <c r="D22" s="23">
        <v>4277644</v>
      </c>
      <c r="E22" s="23">
        <v>129547</v>
      </c>
      <c r="F22" s="23">
        <v>114279</v>
      </c>
      <c r="G22" s="23">
        <v>73258</v>
      </c>
      <c r="H22" s="23">
        <v>317084</v>
      </c>
      <c r="I22" s="24">
        <v>0.0741</v>
      </c>
      <c r="J22" s="24">
        <v>0.625</v>
      </c>
      <c r="K22" s="25">
        <v>47.31</v>
      </c>
      <c r="L22" s="25">
        <v>14999817.16</v>
      </c>
      <c r="M22" s="25">
        <v>3749954.29</v>
      </c>
      <c r="N22" s="25">
        <v>11049862.87</v>
      </c>
      <c r="O22" s="25">
        <v>67402845.3</v>
      </c>
      <c r="P22" s="25">
        <v>47652133.97</v>
      </c>
    </row>
    <row r="23" spans="2:16">
      <c r="B23" t="s">
        <v>207</v>
      </c>
      <c r="C23" s="21">
        <v>12</v>
      </c>
      <c r="D23" s="21">
        <v>4284774</v>
      </c>
      <c r="E23" s="21">
        <v>143569</v>
      </c>
      <c r="F23" s="21">
        <v>121473</v>
      </c>
      <c r="G23" s="21">
        <v>81188</v>
      </c>
      <c r="H23" s="21">
        <v>346230</v>
      </c>
      <c r="I23" s="14">
        <v>0.0808</v>
      </c>
      <c r="J23" s="14">
        <v>0.75</v>
      </c>
      <c r="K23" s="15">
        <v>47.03</v>
      </c>
      <c r="L23" s="16">
        <v>16283543.13</v>
      </c>
      <c r="M23" s="16">
        <v>4070885.78</v>
      </c>
      <c r="N23" s="16">
        <v>12012657.35</v>
      </c>
      <c r="O23" s="16">
        <v>83686388.43000001</v>
      </c>
      <c r="P23" s="16">
        <v>59664791.32</v>
      </c>
    </row>
    <row r="24" spans="2:16">
      <c r="B24" s="22" t="s">
        <v>208</v>
      </c>
      <c r="C24" s="23">
        <v>13</v>
      </c>
      <c r="D24" s="23">
        <v>4291915</v>
      </c>
      <c r="E24" s="23">
        <v>155676</v>
      </c>
      <c r="F24" s="23">
        <v>121675</v>
      </c>
      <c r="G24" s="23">
        <v>88034</v>
      </c>
      <c r="H24" s="23">
        <v>365385</v>
      </c>
      <c r="I24" s="24">
        <v>0.0851</v>
      </c>
      <c r="J24" s="24">
        <v>0.75</v>
      </c>
      <c r="K24" s="25">
        <v>46.76</v>
      </c>
      <c r="L24" s="25">
        <v>17084123.75</v>
      </c>
      <c r="M24" s="25">
        <v>4271030.94</v>
      </c>
      <c r="N24" s="25">
        <v>12613092.81</v>
      </c>
      <c r="O24" s="25">
        <v>100770512.18</v>
      </c>
      <c r="P24" s="25">
        <v>72277884.13</v>
      </c>
    </row>
    <row r="25" spans="2:16">
      <c r="B25" t="s">
        <v>209</v>
      </c>
      <c r="C25" s="21">
        <v>14</v>
      </c>
      <c r="D25" s="21">
        <v>4299068</v>
      </c>
      <c r="E25" s="21">
        <v>165736</v>
      </c>
      <c r="F25" s="21">
        <v>121878</v>
      </c>
      <c r="G25" s="21">
        <v>93723</v>
      </c>
      <c r="H25" s="21">
        <v>381337</v>
      </c>
      <c r="I25" s="14">
        <v>0.0887</v>
      </c>
      <c r="J25" s="14">
        <v>0.75</v>
      </c>
      <c r="K25" s="15">
        <v>46.48</v>
      </c>
      <c r="L25" s="16">
        <v>17725306.43</v>
      </c>
      <c r="M25" s="16">
        <v>4431326.61</v>
      </c>
      <c r="N25" s="16">
        <v>13093979.83</v>
      </c>
      <c r="O25" s="16">
        <v>118495818.61</v>
      </c>
      <c r="P25" s="16">
        <v>85371863.95999999</v>
      </c>
    </row>
    <row r="26" spans="2:16">
      <c r="B26" s="22" t="s">
        <v>210</v>
      </c>
      <c r="C26" s="23">
        <v>15</v>
      </c>
      <c r="D26" s="23">
        <v>4306233</v>
      </c>
      <c r="E26" s="23">
        <v>173842</v>
      </c>
      <c r="F26" s="23">
        <v>122081</v>
      </c>
      <c r="G26" s="23">
        <v>105630</v>
      </c>
      <c r="H26" s="23">
        <v>401553</v>
      </c>
      <c r="I26" s="24">
        <v>0.09320000000000001</v>
      </c>
      <c r="J26" s="24">
        <v>0.75</v>
      </c>
      <c r="K26" s="25">
        <v>46.21</v>
      </c>
      <c r="L26" s="25">
        <v>18554760.25</v>
      </c>
      <c r="M26" s="25">
        <v>4638690.06</v>
      </c>
      <c r="N26" s="25">
        <v>13716070.19</v>
      </c>
      <c r="O26" s="25">
        <v>137050578.86</v>
      </c>
      <c r="P26" s="25">
        <v>99087934.15000001</v>
      </c>
    </row>
    <row r="27" spans="2:16">
      <c r="B27" t="s">
        <v>211</v>
      </c>
      <c r="C27" s="21">
        <v>16</v>
      </c>
      <c r="D27" s="21">
        <v>4313410</v>
      </c>
      <c r="E27" s="21">
        <v>180221</v>
      </c>
      <c r="F27" s="21">
        <v>122285</v>
      </c>
      <c r="G27" s="21">
        <v>109506</v>
      </c>
      <c r="H27" s="21">
        <v>412012</v>
      </c>
      <c r="I27" s="14">
        <v>0.0955</v>
      </c>
      <c r="J27" s="14">
        <v>0.75</v>
      </c>
      <c r="K27" s="15">
        <v>45.93</v>
      </c>
      <c r="L27" s="16">
        <v>18924947.2</v>
      </c>
      <c r="M27" s="16">
        <v>4731236.8</v>
      </c>
      <c r="N27" s="16">
        <v>13993710.4</v>
      </c>
      <c r="O27" s="16">
        <v>155975526.06</v>
      </c>
      <c r="P27" s="16">
        <v>113081644.54</v>
      </c>
    </row>
    <row r="28" spans="2:16">
      <c r="B28" s="22" t="s">
        <v>212</v>
      </c>
      <c r="C28" s="23">
        <v>17</v>
      </c>
      <c r="D28" s="23">
        <v>4320599</v>
      </c>
      <c r="E28" s="23">
        <v>185161</v>
      </c>
      <c r="F28" s="23">
        <v>122489</v>
      </c>
      <c r="G28" s="23">
        <v>112508</v>
      </c>
      <c r="H28" s="23">
        <v>420158</v>
      </c>
      <c r="I28" s="24">
        <v>0.09719999999999999</v>
      </c>
      <c r="J28" s="24">
        <v>0.75</v>
      </c>
      <c r="K28" s="25">
        <v>45.66</v>
      </c>
      <c r="L28" s="25">
        <v>19183784.04</v>
      </c>
      <c r="M28" s="25">
        <v>4795946.01</v>
      </c>
      <c r="N28" s="25">
        <v>14187838.03</v>
      </c>
      <c r="O28" s="25">
        <v>175159310.1</v>
      </c>
      <c r="P28" s="25">
        <v>127269482.57</v>
      </c>
    </row>
    <row r="29" spans="2:16">
      <c r="B29" t="s">
        <v>213</v>
      </c>
      <c r="C29" s="21">
        <v>18</v>
      </c>
      <c r="D29" s="21">
        <v>4327800</v>
      </c>
      <c r="E29" s="21">
        <v>188950</v>
      </c>
      <c r="F29" s="21">
        <v>122693</v>
      </c>
      <c r="G29" s="21">
        <v>114810</v>
      </c>
      <c r="H29" s="21">
        <v>426453</v>
      </c>
      <c r="I29" s="14">
        <v>0.0985</v>
      </c>
      <c r="J29" s="14">
        <v>0.75</v>
      </c>
      <c r="K29" s="15">
        <v>45.38</v>
      </c>
      <c r="L29" s="16">
        <v>19354142.95</v>
      </c>
      <c r="M29" s="16">
        <v>4838535.74</v>
      </c>
      <c r="N29" s="16">
        <v>14315607.21</v>
      </c>
      <c r="O29" s="16">
        <v>194513453.05</v>
      </c>
      <c r="P29" s="16">
        <v>141585089.79</v>
      </c>
    </row>
    <row r="30" spans="2:16">
      <c r="B30" s="22" t="s">
        <v>214</v>
      </c>
      <c r="C30" s="23">
        <v>19</v>
      </c>
      <c r="D30" s="23">
        <v>4335013</v>
      </c>
      <c r="E30" s="23">
        <v>191844</v>
      </c>
      <c r="F30" s="23">
        <v>122897</v>
      </c>
      <c r="G30" s="23">
        <v>116569</v>
      </c>
      <c r="H30" s="23">
        <v>431310</v>
      </c>
      <c r="I30" s="24">
        <v>0.09950000000000001</v>
      </c>
      <c r="J30" s="24">
        <v>0.75</v>
      </c>
      <c r="K30" s="25">
        <v>45.11</v>
      </c>
      <c r="L30" s="25">
        <v>19456178.45</v>
      </c>
      <c r="M30" s="25">
        <v>4864044.61</v>
      </c>
      <c r="N30" s="25">
        <v>14392133.83</v>
      </c>
      <c r="O30" s="25">
        <v>213969631.5</v>
      </c>
      <c r="P30" s="25">
        <v>155977223.62</v>
      </c>
    </row>
    <row r="31" spans="2:16">
      <c r="B31" t="s">
        <v>215</v>
      </c>
      <c r="C31" s="21">
        <v>20</v>
      </c>
      <c r="D31" s="21">
        <v>4342238</v>
      </c>
      <c r="E31" s="21">
        <v>194058</v>
      </c>
      <c r="F31" s="21">
        <v>123102</v>
      </c>
      <c r="G31" s="21">
        <v>117914</v>
      </c>
      <c r="H31" s="21">
        <v>435074</v>
      </c>
      <c r="I31" s="14">
        <v>0.1002</v>
      </c>
      <c r="J31" s="14">
        <v>0.75</v>
      </c>
      <c r="K31" s="15">
        <v>44.84</v>
      </c>
      <c r="L31" s="16">
        <v>19506542.79</v>
      </c>
      <c r="M31" s="16">
        <v>4876635.7</v>
      </c>
      <c r="N31" s="16">
        <v>14429907.09</v>
      </c>
      <c r="O31" s="16">
        <v>233476174.29</v>
      </c>
      <c r="P31" s="16">
        <v>170407130.72</v>
      </c>
    </row>
    <row r="32" spans="2:16">
      <c r="B32" s="22" t="s">
        <v>216</v>
      </c>
      <c r="C32" s="23">
        <v>21</v>
      </c>
      <c r="D32" s="23">
        <v>4349476</v>
      </c>
      <c r="E32" s="23">
        <v>195765</v>
      </c>
      <c r="F32" s="23">
        <v>123307</v>
      </c>
      <c r="G32" s="23">
        <v>118951</v>
      </c>
      <c r="H32" s="23">
        <v>438023</v>
      </c>
      <c r="I32" s="24">
        <v>0.1007</v>
      </c>
      <c r="J32" s="24">
        <v>0.75</v>
      </c>
      <c r="K32" s="25">
        <v>44.56</v>
      </c>
      <c r="L32" s="25">
        <v>19518523.89</v>
      </c>
      <c r="M32" s="25">
        <v>4879630.97</v>
      </c>
      <c r="N32" s="25">
        <v>14438892.92</v>
      </c>
      <c r="O32" s="25">
        <v>252994698.18</v>
      </c>
      <c r="P32" s="25">
        <v>184846023.63</v>
      </c>
    </row>
    <row r="33" spans="2:16">
      <c r="B33" t="s">
        <v>217</v>
      </c>
      <c r="C33" s="21">
        <v>22</v>
      </c>
      <c r="D33" s="21">
        <v>4356725</v>
      </c>
      <c r="E33" s="21">
        <v>197096</v>
      </c>
      <c r="F33" s="21">
        <v>123513</v>
      </c>
      <c r="G33" s="21">
        <v>119760</v>
      </c>
      <c r="H33" s="21">
        <v>440369</v>
      </c>
      <c r="I33" s="14">
        <v>0.1011</v>
      </c>
      <c r="J33" s="14">
        <v>0.75</v>
      </c>
      <c r="K33" s="15">
        <v>44.29</v>
      </c>
      <c r="L33" s="16">
        <v>19502181.53</v>
      </c>
      <c r="M33" s="16">
        <v>4875545.38</v>
      </c>
      <c r="N33" s="16">
        <v>14426636.15</v>
      </c>
      <c r="O33" s="16">
        <v>272496879.71</v>
      </c>
      <c r="P33" s="16">
        <v>199272659.78</v>
      </c>
    </row>
    <row r="34" spans="2:16">
      <c r="B34" s="22" t="s">
        <v>218</v>
      </c>
      <c r="C34" s="23">
        <v>23</v>
      </c>
      <c r="D34" s="23">
        <v>4363986</v>
      </c>
      <c r="E34" s="23">
        <v>198152</v>
      </c>
      <c r="F34" s="23">
        <v>123719</v>
      </c>
      <c r="G34" s="23">
        <v>120402</v>
      </c>
      <c r="H34" s="23">
        <v>442273</v>
      </c>
      <c r="I34" s="24">
        <v>0.1013</v>
      </c>
      <c r="J34" s="24">
        <v>0.75</v>
      </c>
      <c r="K34" s="25">
        <v>44.01</v>
      </c>
      <c r="L34" s="25">
        <v>19465098.14</v>
      </c>
      <c r="M34" s="25">
        <v>4866274.53</v>
      </c>
      <c r="N34" s="25">
        <v>14398823.6</v>
      </c>
      <c r="O34" s="25">
        <v>291961977.85</v>
      </c>
      <c r="P34" s="25">
        <v>213671483.39</v>
      </c>
    </row>
    <row r="35" spans="2:16">
      <c r="B35" t="s">
        <v>219</v>
      </c>
      <c r="C35" s="21">
        <v>24</v>
      </c>
      <c r="D35" s="21">
        <v>4371259</v>
      </c>
      <c r="E35" s="21">
        <v>199008</v>
      </c>
      <c r="F35" s="21">
        <v>123925</v>
      </c>
      <c r="G35" s="21">
        <v>120922</v>
      </c>
      <c r="H35" s="21">
        <v>443855</v>
      </c>
      <c r="I35" s="14">
        <v>0.1015</v>
      </c>
      <c r="J35" s="14">
        <v>0.75</v>
      </c>
      <c r="K35" s="15">
        <v>43.74</v>
      </c>
      <c r="L35" s="16">
        <v>19412886.14</v>
      </c>
      <c r="M35" s="16">
        <v>4853221.53</v>
      </c>
      <c r="N35" s="16">
        <v>14359664.6</v>
      </c>
      <c r="O35" s="16">
        <v>311374863.99</v>
      </c>
      <c r="P35" s="16">
        <v>228031147.99</v>
      </c>
    </row>
    <row r="36" spans="2:16">
      <c r="B36" s="22" t="s">
        <v>220</v>
      </c>
      <c r="C36" s="23">
        <v>25</v>
      </c>
      <c r="D36" s="23">
        <v>4378545</v>
      </c>
      <c r="E36" s="23">
        <v>199719</v>
      </c>
      <c r="F36" s="23">
        <v>124131</v>
      </c>
      <c r="G36" s="23">
        <v>121354</v>
      </c>
      <c r="H36" s="23">
        <v>445204</v>
      </c>
      <c r="I36" s="24">
        <v>0.1017</v>
      </c>
      <c r="J36" s="24">
        <v>0.75</v>
      </c>
      <c r="K36" s="25">
        <v>43.46</v>
      </c>
      <c r="L36" s="25">
        <v>19349678.85</v>
      </c>
      <c r="M36" s="25">
        <v>4837419.71</v>
      </c>
      <c r="N36" s="25">
        <v>14312259.14</v>
      </c>
      <c r="O36" s="25">
        <v>330724542.84</v>
      </c>
      <c r="P36" s="25">
        <v>242343407.13</v>
      </c>
    </row>
    <row r="37" spans="2:16">
      <c r="B37" t="s">
        <v>221</v>
      </c>
      <c r="C37" s="21">
        <v>26</v>
      </c>
      <c r="D37" s="21">
        <v>4385842</v>
      </c>
      <c r="E37" s="21">
        <v>200324</v>
      </c>
      <c r="F37" s="21">
        <v>124338</v>
      </c>
      <c r="G37" s="21">
        <v>121721</v>
      </c>
      <c r="H37" s="21">
        <v>446383</v>
      </c>
      <c r="I37" s="14">
        <v>0.1018</v>
      </c>
      <c r="J37" s="14">
        <v>0.75</v>
      </c>
      <c r="K37" s="15">
        <v>43.19</v>
      </c>
      <c r="L37" s="16">
        <v>19278389</v>
      </c>
      <c r="M37" s="16">
        <v>4819597.25</v>
      </c>
      <c r="N37" s="16">
        <v>14258791.75</v>
      </c>
      <c r="O37" s="16">
        <v>350002931.84</v>
      </c>
      <c r="P37" s="16">
        <v>256602198.88</v>
      </c>
    </row>
    <row r="38" spans="2:16">
      <c r="B38" s="22" t="s">
        <v>222</v>
      </c>
      <c r="C38" s="23">
        <v>27</v>
      </c>
      <c r="D38" s="23">
        <v>4393152</v>
      </c>
      <c r="E38" s="23">
        <v>200854</v>
      </c>
      <c r="F38" s="23">
        <v>124545</v>
      </c>
      <c r="G38" s="23">
        <v>122043</v>
      </c>
      <c r="H38" s="23">
        <v>447442</v>
      </c>
      <c r="I38" s="24">
        <v>0.1018</v>
      </c>
      <c r="J38" s="24">
        <v>0.75</v>
      </c>
      <c r="K38" s="25">
        <v>42.91</v>
      </c>
      <c r="L38" s="25">
        <v>19201302.27</v>
      </c>
      <c r="M38" s="25">
        <v>4800325.57</v>
      </c>
      <c r="N38" s="25">
        <v>14200976.7</v>
      </c>
      <c r="O38" s="25">
        <v>369204234.11</v>
      </c>
      <c r="P38" s="25">
        <v>270803175.58</v>
      </c>
    </row>
    <row r="39" spans="2:16">
      <c r="B39" t="s">
        <v>223</v>
      </c>
      <c r="C39" s="21">
        <v>28</v>
      </c>
      <c r="D39" s="21">
        <v>4400474</v>
      </c>
      <c r="E39" s="21">
        <v>201330</v>
      </c>
      <c r="F39" s="21">
        <v>124753</v>
      </c>
      <c r="G39" s="21">
        <v>122333</v>
      </c>
      <c r="H39" s="21">
        <v>448416</v>
      </c>
      <c r="I39" s="14">
        <v>0.1019</v>
      </c>
      <c r="J39" s="14">
        <v>0.75</v>
      </c>
      <c r="K39" s="15">
        <v>42.64</v>
      </c>
      <c r="L39" s="16">
        <v>19120009.82</v>
      </c>
      <c r="M39" s="16">
        <v>4780002.46</v>
      </c>
      <c r="N39" s="16">
        <v>14140007.37</v>
      </c>
      <c r="O39" s="16">
        <v>388324243.93</v>
      </c>
      <c r="P39" s="16">
        <v>284943182.95</v>
      </c>
    </row>
    <row r="40" spans="2:16">
      <c r="B40" s="22" t="s">
        <v>224</v>
      </c>
      <c r="C40" s="23">
        <v>29</v>
      </c>
      <c r="D40" s="23">
        <v>4407808</v>
      </c>
      <c r="E40" s="23">
        <v>201767</v>
      </c>
      <c r="F40" s="23">
        <v>124961</v>
      </c>
      <c r="G40" s="23">
        <v>122598</v>
      </c>
      <c r="H40" s="23">
        <v>449326</v>
      </c>
      <c r="I40" s="24">
        <v>0.1019</v>
      </c>
      <c r="J40" s="24">
        <v>0.75</v>
      </c>
      <c r="K40" s="25">
        <v>42.36</v>
      </c>
      <c r="L40" s="25">
        <v>19035471.33</v>
      </c>
      <c r="M40" s="25">
        <v>4758867.83</v>
      </c>
      <c r="N40" s="25">
        <v>14076603.5</v>
      </c>
      <c r="O40" s="25">
        <v>407359715.26</v>
      </c>
      <c r="P40" s="25">
        <v>299019786.44</v>
      </c>
    </row>
    <row r="41" spans="2:16">
      <c r="B41" t="s">
        <v>225</v>
      </c>
      <c r="C41" s="21">
        <v>30</v>
      </c>
      <c r="D41" s="21">
        <v>4415154</v>
      </c>
      <c r="E41" s="21">
        <v>202176</v>
      </c>
      <c r="F41" s="21">
        <v>125169</v>
      </c>
      <c r="G41" s="21">
        <v>122847</v>
      </c>
      <c r="H41" s="21">
        <v>450192</v>
      </c>
      <c r="I41" s="14">
        <v>0.102</v>
      </c>
      <c r="J41" s="14">
        <v>0.75</v>
      </c>
      <c r="K41" s="15">
        <v>42.09</v>
      </c>
      <c r="L41" s="16">
        <v>18948581.28</v>
      </c>
      <c r="M41" s="16">
        <v>4737145.32</v>
      </c>
      <c r="N41" s="16">
        <v>14011435.96</v>
      </c>
      <c r="O41" s="16">
        <v>426308296.54</v>
      </c>
      <c r="P41" s="16">
        <v>313031222.4</v>
      </c>
    </row>
    <row r="42" spans="2:16">
      <c r="B42" s="22" t="s">
        <v>226</v>
      </c>
      <c r="C42" s="23">
        <v>31</v>
      </c>
      <c r="D42" s="23">
        <v>4422513</v>
      </c>
      <c r="E42" s="23">
        <v>202566</v>
      </c>
      <c r="F42" s="23">
        <v>125378</v>
      </c>
      <c r="G42" s="23">
        <v>123084</v>
      </c>
      <c r="H42" s="23">
        <v>451028</v>
      </c>
      <c r="I42" s="24">
        <v>0.102</v>
      </c>
      <c r="J42" s="24">
        <v>0.75</v>
      </c>
      <c r="K42" s="25">
        <v>41.82</v>
      </c>
      <c r="L42" s="25">
        <v>18859961.33</v>
      </c>
      <c r="M42" s="25">
        <v>4714990.33</v>
      </c>
      <c r="N42" s="25">
        <v>13944971</v>
      </c>
      <c r="O42" s="25">
        <v>445168257.87</v>
      </c>
      <c r="P42" s="25">
        <v>326976193.4</v>
      </c>
    </row>
    <row r="43" spans="2:16">
      <c r="B43" t="s">
        <v>227</v>
      </c>
      <c r="C43" s="21">
        <v>32</v>
      </c>
      <c r="D43" s="21">
        <v>4429884</v>
      </c>
      <c r="E43" s="21">
        <v>202941</v>
      </c>
      <c r="F43" s="21">
        <v>125587</v>
      </c>
      <c r="G43" s="21">
        <v>123312</v>
      </c>
      <c r="H43" s="21">
        <v>451840</v>
      </c>
      <c r="I43" s="14">
        <v>0.102</v>
      </c>
      <c r="J43" s="14">
        <v>0.75</v>
      </c>
      <c r="K43" s="15">
        <v>41.54</v>
      </c>
      <c r="L43" s="16">
        <v>18769885.44</v>
      </c>
      <c r="M43" s="16">
        <v>4692471.36</v>
      </c>
      <c r="N43" s="16">
        <v>13877414.08</v>
      </c>
      <c r="O43" s="16">
        <v>463938143.31</v>
      </c>
      <c r="P43" s="16">
        <v>340853607.48</v>
      </c>
    </row>
    <row r="44" spans="2:16">
      <c r="B44" s="22" t="s">
        <v>228</v>
      </c>
      <c r="C44" s="23">
        <v>33</v>
      </c>
      <c r="D44" s="23">
        <v>4437267</v>
      </c>
      <c r="E44" s="23">
        <v>203306</v>
      </c>
      <c r="F44" s="23">
        <v>125796</v>
      </c>
      <c r="G44" s="23">
        <v>123533</v>
      </c>
      <c r="H44" s="23">
        <v>452635</v>
      </c>
      <c r="I44" s="24">
        <v>0.102</v>
      </c>
      <c r="J44" s="24">
        <v>0.75</v>
      </c>
      <c r="K44" s="25">
        <v>41.27</v>
      </c>
      <c r="L44" s="25">
        <v>18678662.23</v>
      </c>
      <c r="M44" s="25">
        <v>4669665.56</v>
      </c>
      <c r="N44" s="25">
        <v>13808996.67</v>
      </c>
      <c r="O44" s="25">
        <v>482616805.54</v>
      </c>
      <c r="P44" s="25">
        <v>354662604.16</v>
      </c>
    </row>
    <row r="45" spans="2:16">
      <c r="B45" t="s">
        <v>229</v>
      </c>
      <c r="C45" s="21">
        <v>34</v>
      </c>
      <c r="D45" s="21">
        <v>4444662</v>
      </c>
      <c r="E45" s="21">
        <v>203664</v>
      </c>
      <c r="F45" s="21">
        <v>126006</v>
      </c>
      <c r="G45" s="21">
        <v>123751</v>
      </c>
      <c r="H45" s="21">
        <v>453421</v>
      </c>
      <c r="I45" s="14">
        <v>0.102</v>
      </c>
      <c r="J45" s="14">
        <v>0.75</v>
      </c>
      <c r="K45" s="15">
        <v>40.99</v>
      </c>
      <c r="L45" s="16">
        <v>18586633.63</v>
      </c>
      <c r="M45" s="16">
        <v>4646658.41</v>
      </c>
      <c r="N45" s="16">
        <v>13739975.22</v>
      </c>
      <c r="O45" s="16">
        <v>501203439.17</v>
      </c>
      <c r="P45" s="16">
        <v>368402579.38</v>
      </c>
    </row>
    <row r="46" spans="2:16">
      <c r="B46" s="22" t="s">
        <v>230</v>
      </c>
      <c r="C46" s="23">
        <v>35</v>
      </c>
      <c r="D46" s="23">
        <v>4452070</v>
      </c>
      <c r="E46" s="23">
        <v>204018</v>
      </c>
      <c r="F46" s="23">
        <v>126216</v>
      </c>
      <c r="G46" s="23">
        <v>123966</v>
      </c>
      <c r="H46" s="23">
        <v>454200</v>
      </c>
      <c r="I46" s="24">
        <v>0.102</v>
      </c>
      <c r="J46" s="24">
        <v>0.75</v>
      </c>
      <c r="K46" s="25">
        <v>40.72</v>
      </c>
      <c r="L46" s="25">
        <v>18493888.5</v>
      </c>
      <c r="M46" s="25">
        <v>4623472.13</v>
      </c>
      <c r="N46" s="25">
        <v>13670416.38</v>
      </c>
      <c r="O46" s="25">
        <v>519697327.67</v>
      </c>
      <c r="P46" s="25">
        <v>382072995.75</v>
      </c>
    </row>
    <row r="47" spans="2:16">
      <c r="B47" t="s">
        <v>231</v>
      </c>
      <c r="C47" s="21">
        <v>36</v>
      </c>
      <c r="D47" s="21">
        <v>4459490</v>
      </c>
      <c r="E47" s="21">
        <v>204368</v>
      </c>
      <c r="F47" s="21">
        <v>126426</v>
      </c>
      <c r="G47" s="21">
        <v>124179</v>
      </c>
      <c r="H47" s="21">
        <v>454973</v>
      </c>
      <c r="I47" s="14">
        <v>0.102</v>
      </c>
      <c r="J47" s="14">
        <v>0.75</v>
      </c>
      <c r="K47" s="15">
        <v>40.44</v>
      </c>
      <c r="L47" s="16">
        <v>18400473.04</v>
      </c>
      <c r="M47" s="16">
        <v>4600118.26</v>
      </c>
      <c r="N47" s="16">
        <v>13600354.78</v>
      </c>
      <c r="O47" s="16">
        <v>538097800.71</v>
      </c>
      <c r="P47" s="16">
        <v>395673350.53</v>
      </c>
    </row>
    <row r="48" spans="2:16">
      <c r="B48" s="22" t="s">
        <v>232</v>
      </c>
      <c r="C48" s="23">
        <v>37</v>
      </c>
      <c r="D48" s="23">
        <v>4466923</v>
      </c>
      <c r="E48" s="23">
        <v>204715</v>
      </c>
      <c r="F48" s="23">
        <v>126637</v>
      </c>
      <c r="G48" s="23">
        <v>124389</v>
      </c>
      <c r="H48" s="23">
        <v>455741</v>
      </c>
      <c r="I48" s="24">
        <v>0.102</v>
      </c>
      <c r="J48" s="24">
        <v>0.75</v>
      </c>
      <c r="K48" s="25">
        <v>40.17</v>
      </c>
      <c r="L48" s="25">
        <v>18306432.36</v>
      </c>
      <c r="M48" s="25">
        <v>4576608.09</v>
      </c>
      <c r="N48" s="25">
        <v>13529824.27</v>
      </c>
      <c r="O48" s="25">
        <v>556404233.0700001</v>
      </c>
      <c r="P48" s="25">
        <v>409203174.8</v>
      </c>
    </row>
    <row r="49" spans="2:16">
      <c r="B49" t="s">
        <v>233</v>
      </c>
      <c r="C49" s="21">
        <v>38</v>
      </c>
      <c r="D49" s="21">
        <v>4474368</v>
      </c>
      <c r="E49" s="21">
        <v>205062</v>
      </c>
      <c r="F49" s="21">
        <v>126848</v>
      </c>
      <c r="G49" s="21">
        <v>124600</v>
      </c>
      <c r="H49" s="21">
        <v>456510</v>
      </c>
      <c r="I49" s="14">
        <v>0.102</v>
      </c>
      <c r="J49" s="14">
        <v>0.75</v>
      </c>
      <c r="K49" s="15">
        <v>39.89</v>
      </c>
      <c r="L49" s="16">
        <v>18212009.94</v>
      </c>
      <c r="M49" s="16">
        <v>4553002.49</v>
      </c>
      <c r="N49" s="16">
        <v>13459007.46</v>
      </c>
      <c r="O49" s="16">
        <v>574616243.01</v>
      </c>
      <c r="P49" s="16">
        <v>422662182.26</v>
      </c>
    </row>
    <row r="50" spans="2:16">
      <c r="B50" s="22" t="s">
        <v>234</v>
      </c>
      <c r="C50" s="23">
        <v>39</v>
      </c>
      <c r="D50" s="23">
        <v>4481825</v>
      </c>
      <c r="E50" s="23">
        <v>205407</v>
      </c>
      <c r="F50" s="23">
        <v>127059</v>
      </c>
      <c r="G50" s="23">
        <v>124810</v>
      </c>
      <c r="H50" s="23">
        <v>457276</v>
      </c>
      <c r="I50" s="24">
        <v>0.102</v>
      </c>
      <c r="J50" s="24">
        <v>0.75</v>
      </c>
      <c r="K50" s="25">
        <v>39.62</v>
      </c>
      <c r="L50" s="25">
        <v>18117046.48</v>
      </c>
      <c r="M50" s="25">
        <v>4529261.62</v>
      </c>
      <c r="N50" s="25">
        <v>13387784.86</v>
      </c>
      <c r="O50" s="25">
        <v>592733289.49</v>
      </c>
      <c r="P50" s="25">
        <v>436049967.12</v>
      </c>
    </row>
    <row r="51" spans="2:16">
      <c r="B51" t="s">
        <v>235</v>
      </c>
      <c r="C51" s="21">
        <v>40</v>
      </c>
      <c r="D51" s="21">
        <v>4489295</v>
      </c>
      <c r="E51" s="21">
        <v>205752</v>
      </c>
      <c r="F51" s="21">
        <v>127271</v>
      </c>
      <c r="G51" s="21">
        <v>125020</v>
      </c>
      <c r="H51" s="21">
        <v>458043</v>
      </c>
      <c r="I51" s="14">
        <v>0.102</v>
      </c>
      <c r="J51" s="14">
        <v>0.75</v>
      </c>
      <c r="K51" s="15">
        <v>39.35</v>
      </c>
      <c r="L51" s="16">
        <v>18021701.84</v>
      </c>
      <c r="M51" s="16">
        <v>4505425.46</v>
      </c>
      <c r="N51" s="16">
        <v>13316276.38</v>
      </c>
      <c r="O51" s="16">
        <v>610754991.33</v>
      </c>
      <c r="P51" s="16">
        <v>449366243.5</v>
      </c>
    </row>
    <row r="52" spans="2:16">
      <c r="B52" s="22" t="s">
        <v>236</v>
      </c>
      <c r="C52" s="23">
        <v>41</v>
      </c>
      <c r="D52" s="23">
        <v>4496777</v>
      </c>
      <c r="E52" s="23">
        <v>206097</v>
      </c>
      <c r="F52" s="23">
        <v>127483</v>
      </c>
      <c r="G52" s="23">
        <v>125229</v>
      </c>
      <c r="H52" s="23">
        <v>458809</v>
      </c>
      <c r="I52" s="24">
        <v>0.102</v>
      </c>
      <c r="J52" s="24">
        <v>0.75</v>
      </c>
      <c r="K52" s="25">
        <v>39.07</v>
      </c>
      <c r="L52" s="25">
        <v>17925897.03</v>
      </c>
      <c r="M52" s="25">
        <v>4481474.26</v>
      </c>
      <c r="N52" s="25">
        <v>13244422.78</v>
      </c>
      <c r="O52" s="25">
        <v>628680888.36</v>
      </c>
      <c r="P52" s="25">
        <v>462610666.27</v>
      </c>
    </row>
    <row r="53" spans="2:16">
      <c r="B53" t="s">
        <v>237</v>
      </c>
      <c r="C53" s="21">
        <v>42</v>
      </c>
      <c r="D53" s="21">
        <v>4504271</v>
      </c>
      <c r="E53" s="21">
        <v>206442</v>
      </c>
      <c r="F53" s="21">
        <v>127696</v>
      </c>
      <c r="G53" s="21">
        <v>125439</v>
      </c>
      <c r="H53" s="21">
        <v>459577</v>
      </c>
      <c r="I53" s="14">
        <v>0.102</v>
      </c>
      <c r="J53" s="14">
        <v>0.75</v>
      </c>
      <c r="K53" s="15">
        <v>38.8</v>
      </c>
      <c r="L53" s="16">
        <v>17829749.29</v>
      </c>
      <c r="M53" s="16">
        <v>4457437.32</v>
      </c>
      <c r="N53" s="16">
        <v>13172311.97</v>
      </c>
      <c r="O53" s="16">
        <v>646510637.65</v>
      </c>
      <c r="P53" s="16">
        <v>475782978.24</v>
      </c>
    </row>
    <row r="54" spans="2:16">
      <c r="B54" s="22" t="s">
        <v>238</v>
      </c>
      <c r="C54" s="23">
        <v>43</v>
      </c>
      <c r="D54" s="23">
        <v>4511779</v>
      </c>
      <c r="E54" s="23">
        <v>206787</v>
      </c>
      <c r="F54" s="23">
        <v>127908</v>
      </c>
      <c r="G54" s="23">
        <v>125648</v>
      </c>
      <c r="H54" s="23">
        <v>460343</v>
      </c>
      <c r="I54" s="24">
        <v>0.102</v>
      </c>
      <c r="J54" s="24">
        <v>0.75</v>
      </c>
      <c r="K54" s="25">
        <v>38.52</v>
      </c>
      <c r="L54" s="25">
        <v>17733102.87</v>
      </c>
      <c r="M54" s="25">
        <v>4433275.72</v>
      </c>
      <c r="N54" s="25">
        <v>13099827.16</v>
      </c>
      <c r="O54" s="25">
        <v>664243740.53</v>
      </c>
      <c r="P54" s="25">
        <v>488882805.4</v>
      </c>
    </row>
    <row r="55" spans="2:16">
      <c r="B55" t="s">
        <v>239</v>
      </c>
      <c r="C55" s="21">
        <v>44</v>
      </c>
      <c r="D55" s="21">
        <v>4519298</v>
      </c>
      <c r="E55" s="21">
        <v>207132</v>
      </c>
      <c r="F55" s="21">
        <v>128122</v>
      </c>
      <c r="G55" s="21">
        <v>125858</v>
      </c>
      <c r="H55" s="21">
        <v>461112</v>
      </c>
      <c r="I55" s="14">
        <v>0.102</v>
      </c>
      <c r="J55" s="14">
        <v>0.75</v>
      </c>
      <c r="K55" s="15">
        <v>38.25</v>
      </c>
      <c r="L55" s="16">
        <v>17636150.66</v>
      </c>
      <c r="M55" s="16">
        <v>4409037.67</v>
      </c>
      <c r="N55" s="16">
        <v>13027113</v>
      </c>
      <c r="O55" s="16">
        <v>681879891.1900001</v>
      </c>
      <c r="P55" s="16">
        <v>501909918.39</v>
      </c>
    </row>
    <row r="56" spans="2:16">
      <c r="B56" s="22" t="s">
        <v>240</v>
      </c>
      <c r="C56" s="23">
        <v>45</v>
      </c>
      <c r="D56" s="23">
        <v>4526830</v>
      </c>
      <c r="E56" s="23">
        <v>207478</v>
      </c>
      <c r="F56" s="23">
        <v>128335</v>
      </c>
      <c r="G56" s="23">
        <v>126068</v>
      </c>
      <c r="H56" s="23">
        <v>461881</v>
      </c>
      <c r="I56" s="24">
        <v>0.102</v>
      </c>
      <c r="J56" s="24">
        <v>0.75</v>
      </c>
      <c r="K56" s="25">
        <v>37.97</v>
      </c>
      <c r="L56" s="25">
        <v>17538776.27</v>
      </c>
      <c r="M56" s="25">
        <v>4384694.07</v>
      </c>
      <c r="N56" s="25">
        <v>12954082.2</v>
      </c>
      <c r="O56" s="25">
        <v>699418667.46</v>
      </c>
      <c r="P56" s="25">
        <v>514864000.6</v>
      </c>
    </row>
    <row r="57" spans="2:16">
      <c r="B57" t="s">
        <v>241</v>
      </c>
      <c r="C57" s="21">
        <v>46</v>
      </c>
      <c r="D57" s="21">
        <v>4534375</v>
      </c>
      <c r="E57" s="21">
        <v>207824</v>
      </c>
      <c r="F57" s="21">
        <v>128549</v>
      </c>
      <c r="G57" s="21">
        <v>126279</v>
      </c>
      <c r="H57" s="21">
        <v>462652</v>
      </c>
      <c r="I57" s="14">
        <v>0.102</v>
      </c>
      <c r="J57" s="14">
        <v>0.75</v>
      </c>
      <c r="K57" s="15">
        <v>37.7</v>
      </c>
      <c r="L57" s="16">
        <v>17441055.1</v>
      </c>
      <c r="M57" s="16">
        <v>4360263.77</v>
      </c>
      <c r="N57" s="16">
        <v>12880791.32</v>
      </c>
      <c r="O57" s="16">
        <v>716859722.5599999</v>
      </c>
      <c r="P57" s="16">
        <v>527744791.92</v>
      </c>
    </row>
    <row r="58" spans="2:16">
      <c r="B58" s="22" t="s">
        <v>242</v>
      </c>
      <c r="C58" s="23">
        <v>47</v>
      </c>
      <c r="D58" s="23">
        <v>4541932</v>
      </c>
      <c r="E58" s="23">
        <v>208171</v>
      </c>
      <c r="F58" s="23">
        <v>128763</v>
      </c>
      <c r="G58" s="23">
        <v>126489</v>
      </c>
      <c r="H58" s="23">
        <v>463423</v>
      </c>
      <c r="I58" s="24">
        <v>0.102</v>
      </c>
      <c r="J58" s="24">
        <v>0.75</v>
      </c>
      <c r="K58" s="25">
        <v>37.42</v>
      </c>
      <c r="L58" s="25">
        <v>17342910.64</v>
      </c>
      <c r="M58" s="25">
        <v>4335727.66</v>
      </c>
      <c r="N58" s="25">
        <v>12807182.98</v>
      </c>
      <c r="O58" s="25">
        <v>734202633.2</v>
      </c>
      <c r="P58" s="25">
        <v>540551974.9</v>
      </c>
    </row>
    <row r="59" spans="2:16">
      <c r="B59" t="s">
        <v>243</v>
      </c>
      <c r="C59" s="21">
        <v>48</v>
      </c>
      <c r="D59" s="21">
        <v>4549502</v>
      </c>
      <c r="E59" s="21">
        <v>208518</v>
      </c>
      <c r="F59" s="21">
        <v>128978</v>
      </c>
      <c r="G59" s="21">
        <v>126700</v>
      </c>
      <c r="H59" s="21">
        <v>464196</v>
      </c>
      <c r="I59" s="14">
        <v>0.102</v>
      </c>
      <c r="J59" s="14">
        <v>0.75</v>
      </c>
      <c r="K59" s="15">
        <v>37.15</v>
      </c>
      <c r="L59" s="16">
        <v>17244417.2</v>
      </c>
      <c r="M59" s="16">
        <v>4311104.3</v>
      </c>
      <c r="N59" s="16">
        <v>12733312.9</v>
      </c>
      <c r="O59" s="16">
        <v>751447050.41</v>
      </c>
      <c r="P59" s="16">
        <v>553285287.8</v>
      </c>
    </row>
    <row r="60" spans="2:16">
      <c r="B60" s="22" t="s">
        <v>244</v>
      </c>
      <c r="C60" s="23">
        <v>49</v>
      </c>
      <c r="D60" s="23">
        <v>4557085</v>
      </c>
      <c r="E60" s="23">
        <v>208866</v>
      </c>
      <c r="F60" s="23">
        <v>129193</v>
      </c>
      <c r="G60" s="23">
        <v>126912</v>
      </c>
      <c r="H60" s="23">
        <v>464971</v>
      </c>
      <c r="I60" s="24">
        <v>0.102</v>
      </c>
      <c r="J60" s="24">
        <v>0.75</v>
      </c>
      <c r="K60" s="25">
        <v>36.87</v>
      </c>
      <c r="L60" s="25">
        <v>17145573.14</v>
      </c>
      <c r="M60" s="25">
        <v>4286393.28</v>
      </c>
      <c r="N60" s="25">
        <v>12659179.85</v>
      </c>
      <c r="O60" s="25">
        <v>768592623.54</v>
      </c>
      <c r="P60" s="25">
        <v>565944467.66</v>
      </c>
    </row>
    <row r="61" spans="2:16">
      <c r="B61" t="s">
        <v>245</v>
      </c>
      <c r="C61" s="21">
        <v>50</v>
      </c>
      <c r="D61" s="21">
        <v>4564680</v>
      </c>
      <c r="E61" s="21">
        <v>209214</v>
      </c>
      <c r="F61" s="21">
        <v>129408</v>
      </c>
      <c r="G61" s="21">
        <v>127123</v>
      </c>
      <c r="H61" s="21">
        <v>465745</v>
      </c>
      <c r="I61" s="14">
        <v>0.102</v>
      </c>
      <c r="J61" s="14">
        <v>0.75</v>
      </c>
      <c r="K61" s="15">
        <v>36.6</v>
      </c>
      <c r="L61" s="16">
        <v>17046267</v>
      </c>
      <c r="M61" s="16">
        <v>4261566.75</v>
      </c>
      <c r="N61" s="16">
        <v>12584700.25</v>
      </c>
      <c r="O61" s="16">
        <v>785638890.54</v>
      </c>
      <c r="P61" s="16">
        <v>578529167.91</v>
      </c>
    </row>
    <row r="62" spans="2:16">
      <c r="B62" s="22" t="s">
        <v>246</v>
      </c>
      <c r="C62" s="23">
        <v>51</v>
      </c>
      <c r="D62" s="23">
        <v>4572288</v>
      </c>
      <c r="E62" s="23">
        <v>209563</v>
      </c>
      <c r="F62" s="23">
        <v>129624</v>
      </c>
      <c r="G62" s="23">
        <v>127335</v>
      </c>
      <c r="H62" s="23">
        <v>466522</v>
      </c>
      <c r="I62" s="24">
        <v>0.102</v>
      </c>
      <c r="J62" s="24">
        <v>0.75</v>
      </c>
      <c r="K62" s="25">
        <v>36.6</v>
      </c>
      <c r="L62" s="25">
        <v>17074705.2</v>
      </c>
      <c r="M62" s="25">
        <v>4268676.3</v>
      </c>
      <c r="N62" s="25">
        <v>12606028.9</v>
      </c>
      <c r="O62" s="25">
        <v>802713595.74</v>
      </c>
      <c r="P62" s="25">
        <v>591135196.8099999</v>
      </c>
    </row>
    <row r="63" spans="2:16">
      <c r="B63" t="s">
        <v>247</v>
      </c>
      <c r="C63" s="21">
        <v>52</v>
      </c>
      <c r="D63" s="21">
        <v>4579908</v>
      </c>
      <c r="E63" s="21">
        <v>209912</v>
      </c>
      <c r="F63" s="21">
        <v>129840</v>
      </c>
      <c r="G63" s="21">
        <v>127547</v>
      </c>
      <c r="H63" s="21">
        <v>467299</v>
      </c>
      <c r="I63" s="14">
        <v>0.102</v>
      </c>
      <c r="J63" s="14">
        <v>0.75</v>
      </c>
      <c r="K63" s="15">
        <v>36.6</v>
      </c>
      <c r="L63" s="16">
        <v>17103143.4</v>
      </c>
      <c r="M63" s="16">
        <v>4275785.85</v>
      </c>
      <c r="N63" s="16">
        <v>12627357.55</v>
      </c>
      <c r="O63" s="16">
        <v>819816739.14</v>
      </c>
      <c r="P63" s="16">
        <v>603762554.36</v>
      </c>
    </row>
    <row r="64" spans="2:16">
      <c r="B64" s="22" t="s">
        <v>248</v>
      </c>
      <c r="C64" s="23">
        <v>53</v>
      </c>
      <c r="D64" s="23">
        <v>4587541</v>
      </c>
      <c r="E64" s="23">
        <v>210262</v>
      </c>
      <c r="F64" s="23">
        <v>130056</v>
      </c>
      <c r="G64" s="23">
        <v>127760</v>
      </c>
      <c r="H64" s="23">
        <v>468078</v>
      </c>
      <c r="I64" s="24">
        <v>0.102</v>
      </c>
      <c r="J64" s="24">
        <v>0.75</v>
      </c>
      <c r="K64" s="25">
        <v>36.6</v>
      </c>
      <c r="L64" s="25">
        <v>17131654.8</v>
      </c>
      <c r="M64" s="25">
        <v>4282913.7</v>
      </c>
      <c r="N64" s="25">
        <v>12648741.1</v>
      </c>
      <c r="O64" s="25">
        <v>836948393.9400001</v>
      </c>
      <c r="P64" s="25">
        <v>616411295.46</v>
      </c>
    </row>
    <row r="65" spans="2:16">
      <c r="B65" t="s">
        <v>249</v>
      </c>
      <c r="C65" s="21">
        <v>54</v>
      </c>
      <c r="D65" s="21">
        <v>4595187</v>
      </c>
      <c r="E65" s="21">
        <v>210612</v>
      </c>
      <c r="F65" s="21">
        <v>130273</v>
      </c>
      <c r="G65" s="21">
        <v>127973</v>
      </c>
      <c r="H65" s="21">
        <v>468858</v>
      </c>
      <c r="I65" s="14">
        <v>0.102</v>
      </c>
      <c r="J65" s="14">
        <v>0.75</v>
      </c>
      <c r="K65" s="15">
        <v>36.6</v>
      </c>
      <c r="L65" s="16">
        <v>17160202.8</v>
      </c>
      <c r="M65" s="16">
        <v>4290050.7</v>
      </c>
      <c r="N65" s="16">
        <v>12670152.1</v>
      </c>
      <c r="O65" s="16">
        <v>854108596.74</v>
      </c>
      <c r="P65" s="16">
        <v>629081447.5599999</v>
      </c>
    </row>
    <row r="66" spans="2:16">
      <c r="B66" s="22" t="s">
        <v>250</v>
      </c>
      <c r="C66" s="23">
        <v>55</v>
      </c>
      <c r="D66" s="23">
        <v>4602846</v>
      </c>
      <c r="E66" s="23">
        <v>210963</v>
      </c>
      <c r="F66" s="23">
        <v>130490</v>
      </c>
      <c r="G66" s="23">
        <v>128186</v>
      </c>
      <c r="H66" s="23">
        <v>469639</v>
      </c>
      <c r="I66" s="24">
        <v>0.102</v>
      </c>
      <c r="J66" s="24">
        <v>0.75</v>
      </c>
      <c r="K66" s="25">
        <v>36.6</v>
      </c>
      <c r="L66" s="25">
        <v>17188787.4</v>
      </c>
      <c r="M66" s="25">
        <v>4297196.85</v>
      </c>
      <c r="N66" s="25">
        <v>12691590.55</v>
      </c>
      <c r="O66" s="25">
        <v>871297384.14</v>
      </c>
      <c r="P66" s="25">
        <v>641773038.11</v>
      </c>
    </row>
    <row r="67" spans="2:16">
      <c r="B67" t="s">
        <v>251</v>
      </c>
      <c r="C67" s="21">
        <v>56</v>
      </c>
      <c r="D67" s="21">
        <v>4610517</v>
      </c>
      <c r="E67" s="21">
        <v>211315</v>
      </c>
      <c r="F67" s="21">
        <v>130708</v>
      </c>
      <c r="G67" s="21">
        <v>128400</v>
      </c>
      <c r="H67" s="21">
        <v>470423</v>
      </c>
      <c r="I67" s="14">
        <v>0.102</v>
      </c>
      <c r="J67" s="14">
        <v>0.75</v>
      </c>
      <c r="K67" s="15">
        <v>36.6</v>
      </c>
      <c r="L67" s="16">
        <v>17217481.8</v>
      </c>
      <c r="M67" s="16">
        <v>4304370.45</v>
      </c>
      <c r="N67" s="16">
        <v>12713111.35</v>
      </c>
      <c r="O67" s="16">
        <v>888514865.9400001</v>
      </c>
      <c r="P67" s="16">
        <v>654486149.46</v>
      </c>
    </row>
    <row r="68" spans="2:16">
      <c r="B68" s="22" t="s">
        <v>252</v>
      </c>
      <c r="C68" s="23">
        <v>57</v>
      </c>
      <c r="D68" s="23">
        <v>4618201</v>
      </c>
      <c r="E68" s="23">
        <v>211667</v>
      </c>
      <c r="F68" s="23">
        <v>130926</v>
      </c>
      <c r="G68" s="23">
        <v>128614</v>
      </c>
      <c r="H68" s="23">
        <v>471207</v>
      </c>
      <c r="I68" s="24">
        <v>0.102</v>
      </c>
      <c r="J68" s="24">
        <v>0.75</v>
      </c>
      <c r="K68" s="25">
        <v>36.6</v>
      </c>
      <c r="L68" s="25">
        <v>17246176.2</v>
      </c>
      <c r="M68" s="25">
        <v>4311544.05</v>
      </c>
      <c r="N68" s="25">
        <v>12734632.15</v>
      </c>
      <c r="O68" s="25">
        <v>905761042.14</v>
      </c>
      <c r="P68" s="25">
        <v>667220781.61</v>
      </c>
    </row>
    <row r="69" spans="2:16">
      <c r="B69" t="s">
        <v>253</v>
      </c>
      <c r="C69" s="21">
        <v>58</v>
      </c>
      <c r="D69" s="21">
        <v>4625898</v>
      </c>
      <c r="E69" s="21">
        <v>212020</v>
      </c>
      <c r="F69" s="21">
        <v>131144</v>
      </c>
      <c r="G69" s="21">
        <v>128828</v>
      </c>
      <c r="H69" s="21">
        <v>471992</v>
      </c>
      <c r="I69" s="14">
        <v>0.102</v>
      </c>
      <c r="J69" s="14">
        <v>0.75</v>
      </c>
      <c r="K69" s="15">
        <v>36.6</v>
      </c>
      <c r="L69" s="16">
        <v>17274907.2</v>
      </c>
      <c r="M69" s="16">
        <v>4318726.8</v>
      </c>
      <c r="N69" s="16">
        <v>12756180.4</v>
      </c>
      <c r="O69" s="16">
        <v>923035949.34</v>
      </c>
      <c r="P69" s="16">
        <v>679976962.01</v>
      </c>
    </row>
    <row r="70" spans="2:16">
      <c r="B70" s="22" t="s">
        <v>254</v>
      </c>
      <c r="C70" s="23">
        <v>59</v>
      </c>
      <c r="D70" s="23">
        <v>4633608</v>
      </c>
      <c r="E70" s="23">
        <v>212373</v>
      </c>
      <c r="F70" s="23">
        <v>131362</v>
      </c>
      <c r="G70" s="23">
        <v>129043</v>
      </c>
      <c r="H70" s="23">
        <v>472778</v>
      </c>
      <c r="I70" s="24">
        <v>0.102</v>
      </c>
      <c r="J70" s="24">
        <v>0.75</v>
      </c>
      <c r="K70" s="25">
        <v>36.6</v>
      </c>
      <c r="L70" s="25">
        <v>17303674.8</v>
      </c>
      <c r="M70" s="25">
        <v>4325918.7</v>
      </c>
      <c r="N70" s="25">
        <v>12777756.1</v>
      </c>
      <c r="O70" s="25">
        <v>940339624.14</v>
      </c>
      <c r="P70" s="25">
        <v>692754718.11</v>
      </c>
    </row>
  </sheetData>
  <mergeCells count="12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  <mergeCell ref="B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20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276</v>
      </c>
      <c r="C2" s="1"/>
      <c r="D2" s="1"/>
      <c r="E2" s="1"/>
    </row>
    <row r="4" spans="2:5">
      <c r="B4" s="3" t="s">
        <v>277</v>
      </c>
      <c r="C4" s="3"/>
      <c r="D4" s="3"/>
      <c r="E4" s="3"/>
    </row>
    <row r="5" spans="2:5">
      <c r="C5" s="13" t="s">
        <v>123</v>
      </c>
      <c r="D5" s="13" t="s">
        <v>124</v>
      </c>
      <c r="E5" s="13" t="s">
        <v>125</v>
      </c>
    </row>
    <row r="6" spans="2:5">
      <c r="B6" s="4" t="s">
        <v>278</v>
      </c>
      <c r="C6" s="16">
        <v>1360981052.8</v>
      </c>
      <c r="D6" s="16">
        <v>1112670380.27</v>
      </c>
      <c r="E6" s="16">
        <v>805595202.23</v>
      </c>
    </row>
    <row r="7" spans="2:5">
      <c r="B7" s="4" t="s">
        <v>279</v>
      </c>
      <c r="C7" s="16">
        <v>5895163640.9</v>
      </c>
      <c r="D7" s="16">
        <v>7161404580.38</v>
      </c>
      <c r="E7" s="16">
        <v>8131181789.619999</v>
      </c>
    </row>
    <row r="8" spans="2:5">
      <c r="B8" s="4" t="s">
        <v>280</v>
      </c>
      <c r="C8" s="14">
        <v>-0.303047965742738</v>
      </c>
      <c r="D8" s="14">
        <v>-0.4302067002390985</v>
      </c>
      <c r="E8" s="14">
        <v>-0.5874584632703206</v>
      </c>
    </row>
    <row r="9" spans="2:5">
      <c r="B9" s="4" t="s">
        <v>281</v>
      </c>
      <c r="C9" s="14">
        <v>0.2546</v>
      </c>
      <c r="D9" s="14">
        <v>0.1591</v>
      </c>
      <c r="E9" s="14">
        <v>0.0878</v>
      </c>
    </row>
    <row r="10" spans="2:5">
      <c r="B10" s="4" t="s">
        <v>282</v>
      </c>
      <c r="C10" s="14">
        <v>0.2049</v>
      </c>
      <c r="D10" s="14">
        <v>0.1251</v>
      </c>
      <c r="E10" s="14">
        <v>0.08019999999999999</v>
      </c>
    </row>
    <row r="13" spans="2:5">
      <c r="B13" s="3" t="s">
        <v>283</v>
      </c>
      <c r="C13" s="3"/>
      <c r="D13" s="3"/>
      <c r="E13" s="3"/>
    </row>
    <row r="14" spans="2:5">
      <c r="C14" s="13" t="s">
        <v>123</v>
      </c>
      <c r="D14" s="13" t="s">
        <v>124</v>
      </c>
      <c r="E14" s="13" t="s">
        <v>125</v>
      </c>
    </row>
    <row r="15" spans="2:5">
      <c r="B15" s="4" t="s">
        <v>256</v>
      </c>
      <c r="C15" s="16">
        <v>61372817.22</v>
      </c>
      <c r="D15" s="16">
        <v>67402845.31</v>
      </c>
      <c r="E15" s="16">
        <v>60973300.41</v>
      </c>
    </row>
    <row r="16" spans="2:5">
      <c r="B16" s="4" t="s">
        <v>257</v>
      </c>
      <c r="C16" s="16">
        <v>865879707.95</v>
      </c>
      <c r="D16" s="16">
        <v>940339624.1399999</v>
      </c>
      <c r="E16" s="16">
        <v>835702365.21</v>
      </c>
    </row>
    <row r="17" spans="2:5">
      <c r="B17" s="4" t="s">
        <v>258</v>
      </c>
      <c r="C17" s="16">
        <v>636909780.9200001</v>
      </c>
      <c r="D17" s="16">
        <v>692754718.11</v>
      </c>
      <c r="E17" s="16">
        <v>614276773.9200001</v>
      </c>
    </row>
    <row r="18" spans="2:5">
      <c r="B18" s="4" t="s">
        <v>259</v>
      </c>
      <c r="C18" s="14">
        <v>0.0766</v>
      </c>
      <c r="D18" s="14">
        <v>0.102</v>
      </c>
      <c r="E18" s="14">
        <v>0.102</v>
      </c>
    </row>
    <row r="19" spans="2:5">
      <c r="B19" s="4" t="s">
        <v>284</v>
      </c>
      <c r="C19" s="14">
        <v>0.3782981492422077</v>
      </c>
      <c r="D19" s="14">
        <v>0.2848367131681429</v>
      </c>
      <c r="E19" s="14">
        <v>0.2848367131681429</v>
      </c>
    </row>
    <row r="20" spans="2:5">
      <c r="B20" s="4" t="s">
        <v>285</v>
      </c>
      <c r="C20" s="14">
        <v>0.2314901283588021</v>
      </c>
      <c r="D20" s="14">
        <v>0.2662908195218405</v>
      </c>
      <c r="E20" s="14">
        <v>0.2662908195218405</v>
      </c>
    </row>
  </sheetData>
  <mergeCells count="3">
    <mergeCell ref="B2:E2"/>
    <mergeCell ref="B4:E4"/>
    <mergeCell ref="B13:E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C3AED"/>
  </sheetPr>
  <dimension ref="B2:E55"/>
  <sheetViews>
    <sheetView showGridLines="0" workbookViewId="0"/>
  </sheetViews>
  <sheetFormatPr defaultRowHeight="15"/>
  <cols>
    <col min="1" max="1" width="3.7109375" customWidth="1"/>
    <col min="2" max="2" width="32.7109375" customWidth="1"/>
    <col min="3" max="3" width="22.7109375" customWidth="1"/>
    <col min="4" max="4" width="50.7109375" customWidth="1"/>
    <col min="5" max="5" width="40.7109375" customWidth="1"/>
  </cols>
  <sheetData>
    <row r="2" spans="2:5">
      <c r="B2" s="1" t="s">
        <v>286</v>
      </c>
      <c r="C2" s="1"/>
      <c r="D2" s="1"/>
      <c r="E2" s="1"/>
    </row>
    <row r="3" spans="2:5">
      <c r="B3" s="2" t="s">
        <v>287</v>
      </c>
      <c r="C3" s="2"/>
      <c r="D3" s="2"/>
      <c r="E3" s="2"/>
    </row>
    <row r="5" spans="2:5">
      <c r="B5" s="4" t="s">
        <v>288</v>
      </c>
      <c r="C5" s="30" t="s">
        <v>289</v>
      </c>
      <c r="D5" s="12" t="s">
        <v>290</v>
      </c>
    </row>
    <row r="6" spans="2:5">
      <c r="C6" s="31" t="s">
        <v>291</v>
      </c>
      <c r="D6" s="12" t="s">
        <v>292</v>
      </c>
    </row>
    <row r="7" spans="2:5">
      <c r="C7" s="32" t="s">
        <v>293</v>
      </c>
      <c r="D7" s="12" t="s">
        <v>294</v>
      </c>
    </row>
    <row r="8" spans="2:5">
      <c r="C8" s="33" t="s">
        <v>295</v>
      </c>
      <c r="D8" s="12" t="s">
        <v>296</v>
      </c>
    </row>
    <row r="10" spans="2:5">
      <c r="B10" s="3" t="s">
        <v>297</v>
      </c>
      <c r="C10" s="3"/>
      <c r="D10" s="3"/>
      <c r="E10" s="3"/>
    </row>
    <row r="11" spans="2:5">
      <c r="B11" s="13" t="s">
        <v>298</v>
      </c>
      <c r="C11" s="13" t="s">
        <v>299</v>
      </c>
      <c r="D11" s="13" t="s">
        <v>300</v>
      </c>
      <c r="E11" s="13" t="s">
        <v>301</v>
      </c>
    </row>
    <row r="12" spans="2:5">
      <c r="B12" s="4" t="s">
        <v>302</v>
      </c>
      <c r="C12" s="30" t="s">
        <v>10</v>
      </c>
      <c r="D12" s="12" t="s">
        <v>303</v>
      </c>
      <c r="E12" s="30" t="s">
        <v>289</v>
      </c>
    </row>
    <row r="13" spans="2:5">
      <c r="B13" s="4" t="s">
        <v>304</v>
      </c>
      <c r="C13" s="30" t="s">
        <v>305</v>
      </c>
      <c r="D13" s="12" t="s">
        <v>306</v>
      </c>
      <c r="E13" s="30" t="s">
        <v>289</v>
      </c>
    </row>
    <row r="14" spans="2:5">
      <c r="B14" s="4" t="s">
        <v>307</v>
      </c>
      <c r="C14" s="30" t="s">
        <v>308</v>
      </c>
      <c r="D14" s="12" t="s">
        <v>309</v>
      </c>
      <c r="E14" s="30" t="s">
        <v>289</v>
      </c>
    </row>
    <row r="15" spans="2:5">
      <c r="B15" s="4" t="s">
        <v>310</v>
      </c>
      <c r="C15" s="30" t="s">
        <v>311</v>
      </c>
      <c r="D15" s="12" t="s">
        <v>312</v>
      </c>
      <c r="E15" s="30" t="s">
        <v>289</v>
      </c>
    </row>
    <row r="16" spans="2:5">
      <c r="B16" s="4" t="s">
        <v>313</v>
      </c>
      <c r="C16" s="30" t="s">
        <v>314</v>
      </c>
      <c r="D16" s="12" t="s">
        <v>315</v>
      </c>
      <c r="E16" s="30" t="s">
        <v>289</v>
      </c>
    </row>
    <row r="17" spans="2:5">
      <c r="B17" s="4" t="s">
        <v>316</v>
      </c>
      <c r="C17" s="30" t="s">
        <v>317</v>
      </c>
      <c r="D17" s="12" t="s">
        <v>318</v>
      </c>
      <c r="E17" s="30" t="s">
        <v>289</v>
      </c>
    </row>
    <row r="18" spans="2:5">
      <c r="B18" s="4" t="s">
        <v>319</v>
      </c>
      <c r="C18" s="30" t="s">
        <v>320</v>
      </c>
      <c r="D18" s="12" t="s">
        <v>321</v>
      </c>
      <c r="E18" s="30" t="s">
        <v>289</v>
      </c>
    </row>
    <row r="19" spans="2:5">
      <c r="B19" s="4" t="s">
        <v>322</v>
      </c>
      <c r="C19" s="30" t="s">
        <v>323</v>
      </c>
      <c r="D19" s="12" t="s">
        <v>324</v>
      </c>
      <c r="E19" s="30" t="s">
        <v>289</v>
      </c>
    </row>
    <row r="20" spans="2:5">
      <c r="B20" s="4" t="s">
        <v>105</v>
      </c>
      <c r="C20" s="30" t="s">
        <v>325</v>
      </c>
      <c r="D20" s="12" t="s">
        <v>324</v>
      </c>
      <c r="E20" s="30" t="s">
        <v>289</v>
      </c>
    </row>
    <row r="22" spans="2:5">
      <c r="B22" s="3" t="s">
        <v>326</v>
      </c>
      <c r="C22" s="3"/>
      <c r="D22" s="3"/>
      <c r="E22" s="3"/>
    </row>
    <row r="23" spans="2:5">
      <c r="B23" s="13" t="s">
        <v>122</v>
      </c>
      <c r="C23" s="13" t="s">
        <v>327</v>
      </c>
      <c r="D23" s="13" t="s">
        <v>328</v>
      </c>
      <c r="E23" s="13" t="s">
        <v>301</v>
      </c>
    </row>
    <row r="24" spans="2:5">
      <c r="B24" s="4" t="s">
        <v>30</v>
      </c>
      <c r="C24" s="31" t="s">
        <v>329</v>
      </c>
      <c r="D24" s="12" t="s">
        <v>330</v>
      </c>
      <c r="E24" s="31" t="s">
        <v>291</v>
      </c>
    </row>
    <row r="25" spans="2:5">
      <c r="B25" s="4" t="s">
        <v>127</v>
      </c>
      <c r="C25" s="31" t="s">
        <v>331</v>
      </c>
      <c r="D25" s="12" t="s">
        <v>332</v>
      </c>
      <c r="E25" s="31" t="s">
        <v>291</v>
      </c>
    </row>
    <row r="26" spans="2:5">
      <c r="B26" s="4" t="s">
        <v>126</v>
      </c>
      <c r="C26" s="31" t="s">
        <v>333</v>
      </c>
      <c r="D26" s="12" t="s">
        <v>334</v>
      </c>
      <c r="E26" s="31" t="s">
        <v>291</v>
      </c>
    </row>
    <row r="27" spans="2:5">
      <c r="B27" s="4" t="s">
        <v>335</v>
      </c>
      <c r="C27" s="31" t="s">
        <v>336</v>
      </c>
      <c r="D27" s="12" t="s">
        <v>337</v>
      </c>
      <c r="E27" s="31" t="s">
        <v>291</v>
      </c>
    </row>
    <row r="28" spans="2:5">
      <c r="B28" s="4" t="s">
        <v>338</v>
      </c>
      <c r="C28" s="31" t="s">
        <v>339</v>
      </c>
      <c r="D28" s="12" t="s">
        <v>340</v>
      </c>
      <c r="E28" s="31" t="s">
        <v>291</v>
      </c>
    </row>
    <row r="29" spans="2:5">
      <c r="B29" s="4" t="s">
        <v>341</v>
      </c>
      <c r="C29" s="31" t="s">
        <v>342</v>
      </c>
      <c r="D29" s="12" t="s">
        <v>343</v>
      </c>
      <c r="E29" s="31" t="s">
        <v>291</v>
      </c>
    </row>
    <row r="30" spans="2:5">
      <c r="B30" s="4" t="s">
        <v>128</v>
      </c>
      <c r="C30" s="31" t="s">
        <v>344</v>
      </c>
      <c r="D30" s="12" t="s">
        <v>345</v>
      </c>
      <c r="E30" s="31" t="s">
        <v>291</v>
      </c>
    </row>
    <row r="31" spans="2:5">
      <c r="B31" s="4" t="s">
        <v>346</v>
      </c>
      <c r="C31" s="31" t="s">
        <v>347</v>
      </c>
      <c r="D31" s="12" t="s">
        <v>348</v>
      </c>
      <c r="E31" s="31" t="s">
        <v>291</v>
      </c>
    </row>
    <row r="32" spans="2:5">
      <c r="B32" s="4" t="s">
        <v>349</v>
      </c>
      <c r="C32" s="31" t="s">
        <v>350</v>
      </c>
      <c r="D32" s="12" t="s">
        <v>351</v>
      </c>
      <c r="E32" s="31" t="s">
        <v>291</v>
      </c>
    </row>
    <row r="33" spans="2:5">
      <c r="B33" s="4" t="s">
        <v>352</v>
      </c>
      <c r="C33" s="31" t="s">
        <v>353</v>
      </c>
      <c r="D33" s="12" t="s">
        <v>354</v>
      </c>
      <c r="E33" s="31" t="s">
        <v>291</v>
      </c>
    </row>
    <row r="34" spans="2:5">
      <c r="B34" s="4" t="s">
        <v>355</v>
      </c>
      <c r="C34" s="31" t="s">
        <v>356</v>
      </c>
      <c r="D34" s="12" t="s">
        <v>357</v>
      </c>
      <c r="E34" s="31" t="s">
        <v>291</v>
      </c>
    </row>
    <row r="36" spans="2:5">
      <c r="B36" s="3" t="s">
        <v>358</v>
      </c>
      <c r="C36" s="3"/>
      <c r="D36" s="3"/>
      <c r="E36" s="3"/>
    </row>
    <row r="37" spans="2:5">
      <c r="B37" s="13" t="s">
        <v>359</v>
      </c>
      <c r="C37" s="13" t="s">
        <v>360</v>
      </c>
      <c r="D37" s="13" t="s">
        <v>361</v>
      </c>
      <c r="E37" s="13" t="s">
        <v>301</v>
      </c>
    </row>
    <row r="38" spans="2:5" ht="40" customHeight="1">
      <c r="B38" s="4" t="s">
        <v>362</v>
      </c>
      <c r="C38" s="32" t="s">
        <v>363</v>
      </c>
      <c r="D38" s="12" t="s">
        <v>364</v>
      </c>
      <c r="E38" s="32" t="s">
        <v>293</v>
      </c>
    </row>
    <row r="39" spans="2:5" ht="40" customHeight="1">
      <c r="B39" s="4" t="s">
        <v>365</v>
      </c>
      <c r="C39" s="32" t="s">
        <v>366</v>
      </c>
      <c r="D39" s="12" t="s">
        <v>367</v>
      </c>
      <c r="E39" s="32" t="s">
        <v>293</v>
      </c>
    </row>
    <row r="40" spans="2:5" ht="40" customHeight="1">
      <c r="B40" s="4" t="s">
        <v>368</v>
      </c>
      <c r="C40" s="32" t="s">
        <v>369</v>
      </c>
      <c r="D40" s="12" t="s">
        <v>370</v>
      </c>
      <c r="E40" s="32" t="s">
        <v>293</v>
      </c>
    </row>
    <row r="41" spans="2:5" ht="40" customHeight="1">
      <c r="B41" s="4" t="s">
        <v>371</v>
      </c>
      <c r="C41" s="32" t="s">
        <v>372</v>
      </c>
      <c r="D41" s="12" t="s">
        <v>373</v>
      </c>
      <c r="E41" s="32" t="s">
        <v>293</v>
      </c>
    </row>
    <row r="42" spans="2:5" ht="40" customHeight="1">
      <c r="B42" s="4" t="s">
        <v>374</v>
      </c>
      <c r="C42" s="32" t="s">
        <v>375</v>
      </c>
      <c r="D42" s="12" t="s">
        <v>376</v>
      </c>
      <c r="E42" s="32" t="s">
        <v>293</v>
      </c>
    </row>
    <row r="44" spans="2:5">
      <c r="B44" s="3" t="s">
        <v>377</v>
      </c>
      <c r="C44" s="3"/>
      <c r="D44" s="3"/>
      <c r="E44" s="3"/>
    </row>
    <row r="45" spans="2:5">
      <c r="B45" s="13" t="s">
        <v>378</v>
      </c>
      <c r="C45" s="13" t="s">
        <v>379</v>
      </c>
      <c r="D45" s="13" t="s">
        <v>380</v>
      </c>
      <c r="E45" s="13" t="s">
        <v>301</v>
      </c>
    </row>
    <row r="46" spans="2:5">
      <c r="B46" s="4" t="s">
        <v>381</v>
      </c>
      <c r="C46" s="33" t="s">
        <v>382</v>
      </c>
      <c r="D46" s="12" t="s">
        <v>383</v>
      </c>
      <c r="E46" s="33" t="s">
        <v>295</v>
      </c>
    </row>
    <row r="47" spans="2:5">
      <c r="B47" s="4" t="s">
        <v>384</v>
      </c>
      <c r="C47" s="33" t="s">
        <v>385</v>
      </c>
      <c r="D47" s="12" t="s">
        <v>386</v>
      </c>
      <c r="E47" s="33" t="s">
        <v>295</v>
      </c>
    </row>
    <row r="48" spans="2:5">
      <c r="B48" s="4" t="s">
        <v>387</v>
      </c>
      <c r="C48" s="33" t="s">
        <v>388</v>
      </c>
      <c r="D48" s="12" t="s">
        <v>389</v>
      </c>
      <c r="E48" s="33" t="s">
        <v>295</v>
      </c>
    </row>
    <row r="49" spans="2:5">
      <c r="B49" s="4" t="s">
        <v>390</v>
      </c>
      <c r="C49" s="33" t="s">
        <v>391</v>
      </c>
      <c r="D49" s="12" t="s">
        <v>392</v>
      </c>
      <c r="E49" s="33" t="s">
        <v>295</v>
      </c>
    </row>
    <row r="50" spans="2:5">
      <c r="B50" s="4" t="s">
        <v>393</v>
      </c>
      <c r="C50" s="33" t="s">
        <v>394</v>
      </c>
      <c r="D50" s="12" t="s">
        <v>395</v>
      </c>
      <c r="E50" s="33" t="s">
        <v>295</v>
      </c>
    </row>
    <row r="51" spans="2:5">
      <c r="B51" s="4" t="s">
        <v>396</v>
      </c>
      <c r="C51" s="33" t="s">
        <v>397</v>
      </c>
      <c r="D51" s="12" t="s">
        <v>398</v>
      </c>
      <c r="E51" s="33" t="s">
        <v>295</v>
      </c>
    </row>
    <row r="52" spans="2:5">
      <c r="B52" s="4" t="s">
        <v>399</v>
      </c>
      <c r="C52" s="33" t="s">
        <v>400</v>
      </c>
      <c r="D52" s="12" t="s">
        <v>401</v>
      </c>
      <c r="E52" s="33" t="s">
        <v>295</v>
      </c>
    </row>
    <row r="55" spans="2:5">
      <c r="B55" s="6" t="s">
        <v>402</v>
      </c>
      <c r="C55" s="6"/>
      <c r="D55" s="6"/>
      <c r="E55" s="6"/>
    </row>
  </sheetData>
  <mergeCells count="7">
    <mergeCell ref="B2:E2"/>
    <mergeCell ref="B3:E3"/>
    <mergeCell ref="B10:E10"/>
    <mergeCell ref="B22:E22"/>
    <mergeCell ref="B36:E36"/>
    <mergeCell ref="B44:E44"/>
    <mergeCell ref="B55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Originator Forecast</vt:lpstr>
      <vt:lpstr>Generika 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2026-02-14T17:05:43Z</dcterms:created>
  <dcterms:modified xsi:type="dcterms:W3CDTF">2026-02-14T17:05:43Z</dcterms:modified>
</cp:coreProperties>
</file>