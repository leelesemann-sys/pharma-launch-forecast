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Marktdaten" sheetId="2" r:id="rId2"/>
    <sheet name="Apothekenverteilung" sheetId="3" r:id="rId3"/>
    <sheet name="Forecast" sheetId="4" r:id="rId4"/>
    <sheet name="Dashboard" sheetId="5" r:id="rId5"/>
    <sheet name="Methodik" sheetId="6" r:id="rId6"/>
  </sheets>
  <calcPr calcId="124519" fullCalcOnLoad="1"/>
</workbook>
</file>

<file path=xl/sharedStrings.xml><?xml version="1.0" encoding="utf-8"?>
<sst xmlns="http://schemas.openxmlformats.org/spreadsheetml/2006/main" count="374" uniqueCount="316">
  <si>
    <t>Sildenafil Rx-to-OTC Switch - Forecast Modell</t>
  </si>
  <si>
    <t>Viatris / Viagra Connect 50mg | Referenz: UK OTC Launch 2018</t>
  </si>
  <si>
    <t>1. PRODUKT &amp; EPIDEMIOLOGIE</t>
  </si>
  <si>
    <t>Produkt</t>
  </si>
  <si>
    <t>Viagra Connect 50mg</t>
  </si>
  <si>
    <t>Viatris-Marke fuer OTC</t>
  </si>
  <si>
    <t>Molekuel</t>
  </si>
  <si>
    <t>Sildenafil</t>
  </si>
  <si>
    <t>PDE5-Hemmer</t>
  </si>
  <si>
    <t>Unternehmen</t>
  </si>
  <si>
    <t>Viatris</t>
  </si>
  <si>
    <t>Inhaber der Marke Viagra</t>
  </si>
  <si>
    <t>Switch-Datum (hypothetisch)</t>
  </si>
  <si>
    <t>2027</t>
  </si>
  <si>
    <t>BMG koennte SVA ueberstimmen</t>
  </si>
  <si>
    <t>ED-Praevalenz DE</t>
  </si>
  <si>
    <t>Maenner mit moderater-schwerer ED</t>
  </si>
  <si>
    <t>Therapiequote aktuell</t>
  </si>
  <si>
    <t>Nur 1/3 werden behandelt</t>
  </si>
  <si>
    <t>Therapieluecke</t>
  </si>
  <si>
    <t>Unbehandelte Maenner (berechnet)</t>
  </si>
  <si>
    <t>2. RX-MARKT (vor Switch)</t>
  </si>
  <si>
    <t>Sildenafil Rx Tabl./Monat</t>
  </si>
  <si>
    <t>65% von ~2.6M PDE5 Pack./Jahr × 4 Tabl.</t>
  </si>
  <si>
    <t>Viagra Preis/Tablette (EUR)</t>
  </si>
  <si>
    <t>Markenpreis 50mg (4er Pack)</t>
  </si>
  <si>
    <t>Generika Preis/Tablette (EUR)</t>
  </si>
  <si>
    <t>Durchschnitt (Spanne 0.95-2.30)</t>
  </si>
  <si>
    <t>Viagra Markenanteil (Rx)</t>
  </si>
  <si>
    <t>~10% der Sildenafil-Packs</t>
  </si>
  <si>
    <t>Rx-Rueckgang durch OTC</t>
  </si>
  <si>
    <t>UK: Rx stieg sogar! Konservativ: -8%</t>
  </si>
  <si>
    <t>GKV-Erstattung</t>
  </si>
  <si>
    <t>NEIN</t>
  </si>
  <si>
    <t>Patient zahlt 100% (Lifestyle-AM)</t>
  </si>
  <si>
    <t>3. OTC-KANAL</t>
  </si>
  <si>
    <t>OTC Preis/Tablette (EUR)</t>
  </si>
  <si>
    <t>Zwischen UK GBP 5 und Rx-Generika EUR 1.50</t>
  </si>
  <si>
    <t>OTC Peak Tabletten/Monat</t>
  </si>
  <si>
    <t>Alle Kanaele zusammen</t>
  </si>
  <si>
    <t>Monate bis Peak</t>
  </si>
  <si>
    <t>Ramp-up-Dauer</t>
  </si>
  <si>
    <t>Neue Patienten (% OTC-Vol.)</t>
  </si>
  <si>
    <t>UK-Referenz: 63% nie vorher behandelt</t>
  </si>
  <si>
    <t>Preiselastizitaet</t>
  </si>
  <si>
    <t>Niedrig: Patient zahlt ohnehin 100% Rx</t>
  </si>
  <si>
    <t>Preistrend p.a.</t>
  </si>
  <si>
    <t>Generikadruck auf OTC-Preis</t>
  </si>
  <si>
    <t>4. APOTHEKENVERTEILUNG (apothekenpflichtig)</t>
  </si>
  <si>
    <t>Stationaere Apotheke (%)</t>
  </si>
  <si>
    <t>Face-to-face, Beratung, Sofortabholung</t>
  </si>
  <si>
    <t>Online-Apotheke (%)</t>
  </si>
  <si>
    <t>DocMorris, Shop Apotheke – Anonymitaet!</t>
  </si>
  <si>
    <t>Online-Wachstum p.a. (Pp.)</t>
  </si>
  <si>
    <t>CAGR OTC Online: 12.6%</t>
  </si>
  <si>
    <t>Apothekenmarge (stationaer)</t>
  </si>
  <si>
    <t>Freie OTC-Preisgestaltung</t>
  </si>
  <si>
    <t>Online-Marge</t>
  </si>
  <si>
    <t>Wettbewerbsdruck, niedrigere Kosten</t>
  </si>
  <si>
    <t>5. MARKE vs. GENERIKA OTC</t>
  </si>
  <si>
    <t>Viagra Connect Anteil (OTC)</t>
  </si>
  <si>
    <t>Markenstaerke vs. Generikadruck</t>
  </si>
  <si>
    <t>Markenanteil-Erosion p.a.</t>
  </si>
  <si>
    <t>Generikahersteller dringen in OTC</t>
  </si>
  <si>
    <t>Preispremium Marke</t>
  </si>
  <si>
    <t>Marke ist 1.8x teurer als Generika OTC</t>
  </si>
  <si>
    <t>6. TELEMEDIZIN-DISRUPTION</t>
  </si>
  <si>
    <t>Telemed. Umsatz/Mon. (EUR)</t>
  </si>
  <si>
    <t>Zava, GoSpring, TeleClinic etc.</t>
  </si>
  <si>
    <t>Telemed. Umsatzrueckgang</t>
  </si>
  <si>
    <t>OTC entfernt Rezeptpflicht als USP</t>
  </si>
  <si>
    <t>Telemed. Retention</t>
  </si>
  <si>
    <t>Verbleibend: Beratung, Diagnostik</t>
  </si>
  <si>
    <t>7. SZENARIO-DEFINITIONEN</t>
  </si>
  <si>
    <t>Parameter</t>
  </si>
  <si>
    <t>Konservativ</t>
  </si>
  <si>
    <t>Base Case</t>
  </si>
  <si>
    <t>Optimistisch</t>
  </si>
  <si>
    <t>OTC Peak Tabl./Mon.</t>
  </si>
  <si>
    <t>Marketing/Monat (EUR)</t>
  </si>
  <si>
    <t>Neue Patienten (%)</t>
  </si>
  <si>
    <t>Rx-Rueckgang</t>
  </si>
  <si>
    <t>Viagra Markenanteil OTC</t>
  </si>
  <si>
    <t>ED-Markt Deutschland &amp; PDE5-Wettbewerb</t>
  </si>
  <si>
    <t>Epidemiologie &amp; Therapieluecke</t>
  </si>
  <si>
    <t>ED-Praevalenz (DE)</t>
  </si>
  <si>
    <t>4-6 Mio. Maenner (bis 8 Mio. mild)</t>
  </si>
  <si>
    <t>Cologne Male Survey (n=4.489)</t>
  </si>
  <si>
    <t>19.2% ED-Praevalenz gesamt</t>
  </si>
  <si>
    <t>Moderate-schwere ED (Viatris 2023)</t>
  </si>
  <si>
    <t>~5 Mio. Maenner</t>
  </si>
  <si>
    <t>Therapiequote</t>
  </si>
  <si>
    <t>Nur 33% erhalten Behandlung</t>
  </si>
  <si>
    <t>Primaere Barriere</t>
  </si>
  <si>
    <t>Scham / Stigma (GoSpring-Studie)</t>
  </si>
  <si>
    <t>NEIN – Patient zahlt 100%</t>
  </si>
  <si>
    <t>PDE5-Hemmer Wettbewerb</t>
  </si>
  <si>
    <t>Marktanteil
(Packs)</t>
  </si>
  <si>
    <t>Marke</t>
  </si>
  <si>
    <t>Generika
Preis/Tab</t>
  </si>
  <si>
    <t>OTC?</t>
  </si>
  <si>
    <t>Viagra (Viatris)</t>
  </si>
  <si>
    <t>3x abgelehnt (BfArM SVA)</t>
  </si>
  <si>
    <t>Tadalafil</t>
  </si>
  <si>
    <t>Cialis (Lilly)</t>
  </si>
  <si>
    <t>Abgelehnt (Juli 2023)</t>
  </si>
  <si>
    <t>Vardenafil</t>
  </si>
  <si>
    <t>Levitra (Bayer)</t>
  </si>
  <si>
    <t>Kein Antrag</t>
  </si>
  <si>
    <t>Avanafil</t>
  </si>
  <si>
    <t>Spedra (Menarini)</t>
  </si>
  <si>
    <t>UK Viagra Connect – Referenzfall</t>
  </si>
  <si>
    <t>OTC-Launch</t>
  </si>
  <si>
    <t>Maerz 2018 (MHRA)</t>
  </si>
  <si>
    <t>Dosierung OTC</t>
  </si>
  <si>
    <t>50mg, apothekenpflichtig</t>
  </si>
  <si>
    <t>Preis (Boots)</t>
  </si>
  <si>
    <t>GBP 19.99 / 4 Tabletten = GBP 5.00/Tab</t>
  </si>
  <si>
    <t>Umsatz Q1 (12 Wochen)</t>
  </si>
  <si>
    <t>GBP 4.3 Mio.</t>
  </si>
  <si>
    <t>Umsatz Jahr 1 (hochgerechnet)</t>
  </si>
  <si>
    <t>GBP 16 Mio.</t>
  </si>
  <si>
    <t>Neupatienten (nie vorher behandelt)</t>
  </si>
  <si>
    <t>63% (UK Real-World-Studie, n=1.162)</t>
  </si>
  <si>
    <t>NHS Rx-Effekt</t>
  </si>
  <si>
    <t>Rx-Verordnungen STIEGEN ebenfalls</t>
  </si>
  <si>
    <t>UK ED-Markt (2023)</t>
  </si>
  <si>
    <t>USD 260 Mio. (CAGR 7.2%)</t>
  </si>
  <si>
    <t>Telemedizin ED-Plattformen</t>
  </si>
  <si>
    <t>Zava (Hims)</t>
  </si>
  <si>
    <t>2M Patienten (2018), ED-Konsult. EUR 29</t>
  </si>
  <si>
    <t>GoSpring</t>
  </si>
  <si>
    <t>11.456 ED-Pat. (Mai-Nov 2019), 80% Sildenafil</t>
  </si>
  <si>
    <t>TeleClinic</t>
  </si>
  <si>
    <t>Video-Konsultation + Rx</t>
  </si>
  <si>
    <t>Disruption durch OTC</t>
  </si>
  <si>
    <t>Kerngeschaeft (Rx) entfaellt</t>
  </si>
  <si>
    <t>BfArM SVA-Entscheidungen</t>
  </si>
  <si>
    <t>Januar 2022</t>
  </si>
  <si>
    <t>1. Ablehnung (50mg)</t>
  </si>
  <si>
    <t>Oktober 2022</t>
  </si>
  <si>
    <t>BMG erklaert: WILL OTC-Switch</t>
  </si>
  <si>
    <t>Juli 2023</t>
  </si>
  <si>
    <t>2. Ablehnung (25mg + 50mg Sild. + Tadalafil)</t>
  </si>
  <si>
    <t>Januar 2025</t>
  </si>
  <si>
    <t>3. Ablehnung (keine neuen Daten)</t>
  </si>
  <si>
    <t>Status</t>
  </si>
  <si>
    <t>BMG hat noch nie SVA ueberstimmt – waere Praezedenzfall</t>
  </si>
  <si>
    <t>Apothekenverteilung – OTC Sildenafil (apothekenpflichtig)</t>
  </si>
  <si>
    <t>Monat</t>
  </si>
  <si>
    <t>Apotheke
Tabl.</t>
  </si>
  <si>
    <t>Apotheke
Anteil</t>
  </si>
  <si>
    <t>Apotheke
Umsatz</t>
  </si>
  <si>
    <t>Online
Tabl.</t>
  </si>
  <si>
    <t>Online
Anteil</t>
  </si>
  <si>
    <t>Online
Umsatz</t>
  </si>
  <si>
    <t>Gesamt
OTC Tabl.</t>
  </si>
  <si>
    <t>Sildenafil Rx-to-OTC Forecast – Dual Channel (Base Case)</t>
  </si>
  <si>
    <t>OTC Umsatz Jahr 1</t>
  </si>
  <si>
    <t>Gesamtumsatz 5J</t>
  </si>
  <si>
    <t>Gewinn 5J</t>
  </si>
  <si>
    <t>Online-Anteil M24</t>
  </si>
  <si>
    <t>OTC &gt; Rx ab</t>
  </si>
  <si>
    <t>Monat 5</t>
  </si>
  <si>
    <t>Rx
Tabl.</t>
  </si>
  <si>
    <t>Rx
Umsatz</t>
  </si>
  <si>
    <t>OTC
Tabl.</t>
  </si>
  <si>
    <t>OTC Preis
/Tab</t>
  </si>
  <si>
    <t>OTC Retail
Umsatz</t>
  </si>
  <si>
    <t>OTC Herst.
Umsatz</t>
  </si>
  <si>
    <t>Marke
Tabl.</t>
  </si>
  <si>
    <t>Generika
Tabl.</t>
  </si>
  <si>
    <t>Marke
%</t>
  </si>
  <si>
    <t>Saison</t>
  </si>
  <si>
    <t>Gesamt
Umsatz</t>
  </si>
  <si>
    <t>Oper.
Gewinn</t>
  </si>
  <si>
    <t>Kum.
Umsatz</t>
  </si>
  <si>
    <t>Kum.
Gewinn</t>
  </si>
  <si>
    <t>Executive Summary – Sildenafil OTC Switch</t>
  </si>
  <si>
    <t>Szenario-Vergleich</t>
  </si>
  <si>
    <t>Gesamtumsatz 5J (Rx+OTC)</t>
  </si>
  <si>
    <t>OTC Umsatz 5J</t>
  </si>
  <si>
    <t>Rx Umsatz 5J</t>
  </si>
  <si>
    <t>OTC-Anteil M12 (Tabletten)</t>
  </si>
  <si>
    <t>OTC-Anteil M24 (Tabletten)</t>
  </si>
  <si>
    <t>Viagra Markenanteil M12</t>
  </si>
  <si>
    <t>Rx-Rueckgang gesamt</t>
  </si>
  <si>
    <t>Therapiequote (neu)</t>
  </si>
  <si>
    <t>Marketing-Invest 5J</t>
  </si>
  <si>
    <t>Methodik &amp; Transparenz-Matrix</t>
  </si>
  <si>
    <t>Jeder Datenpunkt ist klassifiziert: FAKT / ANNAHME / MODELL / LUECKE</t>
  </si>
  <si>
    <t>Legende:</t>
  </si>
  <si>
    <t>FAKT</t>
  </si>
  <si>
    <t>Aus oeffentlichen Quellen</t>
  </si>
  <si>
    <t>ANNAHME</t>
  </si>
  <si>
    <t>Steuerbar (gelbe Zellen)</t>
  </si>
  <si>
    <t>MODELL</t>
  </si>
  <si>
    <t>Mathematisches Modell</t>
  </si>
  <si>
    <t>LUECKE</t>
  </si>
  <si>
    <t>Fuer Produktiveinsatz noetig</t>
  </si>
  <si>
    <t>FAKTEN</t>
  </si>
  <si>
    <t>Datenpunkt</t>
  </si>
  <si>
    <t>Wert</t>
  </si>
  <si>
    <t>Quelle</t>
  </si>
  <si>
    <t>Kat.</t>
  </si>
  <si>
    <t>4-6 Mio. (Cologne Male Survey)</t>
  </si>
  <si>
    <t>Nature / Braun et al.</t>
  </si>
  <si>
    <t>33% (2/3 unbehandelt)</t>
  </si>
  <si>
    <t>Viatris DE / Handelsblatt</t>
  </si>
  <si>
    <t>PDE5-Markt DE</t>
  </si>
  <si>
    <t>~2.6 Mio. Pack./Jahr</t>
  </si>
  <si>
    <t>IQVIA / Apotheke Adhoc</t>
  </si>
  <si>
    <t>Sildenafil-Anteil</t>
  </si>
  <si>
    <t>55-65% der PDE5-Packs</t>
  </si>
  <si>
    <t>Apotheke Adhoc / Handelsblatt</t>
  </si>
  <si>
    <t>Viagra Markenanteil</t>
  </si>
  <si>
    <t>~10% der Sild.-Packs</t>
  </si>
  <si>
    <t>Apotheke Adhoc</t>
  </si>
  <si>
    <t>Generika-Preis</t>
  </si>
  <si>
    <t>EUR 0.95-2.30/Tablette</t>
  </si>
  <si>
    <t>GoSpring / Zava</t>
  </si>
  <si>
    <t>BfArM SVA: 3x abgelehnt</t>
  </si>
  <si>
    <t>2022, 2023, 2025</t>
  </si>
  <si>
    <t>Citeline / Apotheke Adhoc</t>
  </si>
  <si>
    <t>BMG will Switch</t>
  </si>
  <si>
    <t>Okt. 2022 erklaert</t>
  </si>
  <si>
    <t>Citeline / HBW Insight</t>
  </si>
  <si>
    <t>UK Viagra Connect</t>
  </si>
  <si>
    <t>Maerz 2018, GBP 5/Tab</t>
  </si>
  <si>
    <t>MHRA / Boots</t>
  </si>
  <si>
    <t>UK: 63% Neupatienten</t>
  </si>
  <si>
    <t>n=1.162, Lee et al. 2021</t>
  </si>
  <si>
    <t>PMC / IJCP</t>
  </si>
  <si>
    <t>UK: Rx STIEG post-Switch</t>
  </si>
  <si>
    <t>NHS Rx nicht kannibalisiert</t>
  </si>
  <si>
    <t>PAGB/Frontier Economics</t>
  </si>
  <si>
    <t>GKV: keine Erstattung ED</t>
  </si>
  <si>
    <t>Lifestyle-AM (SGB V)</t>
  </si>
  <si>
    <t>GKV-SV</t>
  </si>
  <si>
    <t>Online-Apotheke CAGR OTC</t>
  </si>
  <si>
    <t>12.6% durch 2030</t>
  </si>
  <si>
    <t>Grand View Research</t>
  </si>
  <si>
    <t>ANNAHMEN</t>
  </si>
  <si>
    <t>Default</t>
  </si>
  <si>
    <t>Begruendung</t>
  </si>
  <si>
    <t>OTC Peak Vol.</t>
  </si>
  <si>
    <t>2.1M Tabl./Mon.</t>
  </si>
  <si>
    <t>Hochrechnung: UK + DE-Marktgroesse</t>
  </si>
  <si>
    <t>OTC Preis</t>
  </si>
  <si>
    <t>EUR 5.99/Tab</t>
  </si>
  <si>
    <t>Neue Patienten</t>
  </si>
  <si>
    <t>63%</t>
  </si>
  <si>
    <t>8%</t>
  </si>
  <si>
    <t>Online-Anteil</t>
  </si>
  <si>
    <t>40% (steigend)</t>
  </si>
  <si>
    <t>Anonymitaet = Kernvorteil bei ED/Stigma</t>
  </si>
  <si>
    <t>Markenanteil</t>
  </si>
  <si>
    <t>45% (sinkend)</t>
  </si>
  <si>
    <t>Viagra-Brand stark, aber Generikadruck</t>
  </si>
  <si>
    <t>Telemed. Verlust</t>
  </si>
  <si>
    <t>60%</t>
  </si>
  <si>
    <t>Rx-Pflicht = Kern-USP der Plattformen</t>
  </si>
  <si>
    <t>Marketing</t>
  </si>
  <si>
    <t>EUR 500K/Mon.</t>
  </si>
  <si>
    <t>Hoeher als PPI: DTC Brand Building</t>
  </si>
  <si>
    <t>MODELLE</t>
  </si>
  <si>
    <t>Modell</t>
  </si>
  <si>
    <t>Formel / Logik</t>
  </si>
  <si>
    <t>Referenz</t>
  </si>
  <si>
    <t>OTC-Ramp</t>
  </si>
  <si>
    <t>Logistic S-Curve (peak, midpoint, steepness)</t>
  </si>
  <si>
    <t>UK Viagra Connect Launch-Kurve</t>
  </si>
  <si>
    <t>Rx-Effekt</t>
  </si>
  <si>
    <t>Exp. Decay mit hohem Floor (92%)</t>
  </si>
  <si>
    <t>UK: Rx stieg – konservativ modelliert</t>
  </si>
  <si>
    <t>Apothekenverteilung</t>
  </si>
  <si>
    <t>2 Kanaele (apothekenpflichtig)</t>
  </si>
  <si>
    <t>Online CAGR 12.6%, Discretion-Faktor</t>
  </si>
  <si>
    <t>Discretion-Bonus</t>
  </si>
  <si>
    <t>Kanal-Volumen * (1 + (disc-0.7)*0.15)</t>
  </si>
  <si>
    <t>ED-Stigma treibt anonyme Kanaele</t>
  </si>
  <si>
    <t>Telemed.-Disruption</t>
  </si>
  <si>
    <t>Exp. Decay + Pivot-Retention (15%)</t>
  </si>
  <si>
    <t>Zava/GoSpring verlieren Rx-Geschaeft</t>
  </si>
  <si>
    <t>Markenanteil-Erosion</t>
  </si>
  <si>
    <t>Linear: -3Pp/Jahr, Floor 15%</t>
  </si>
  <si>
    <t>Generikadruck analog UK</t>
  </si>
  <si>
    <t>Tadalafil-Migration</t>
  </si>
  <si>
    <t>Logistic: 12% der Tada-Tabl. zu OTC Sild.</t>
  </si>
  <si>
    <t>Convenience-Vorteil OTC</t>
  </si>
  <si>
    <t>LUECKEN</t>
  </si>
  <si>
    <t>Gap</t>
  </si>
  <si>
    <t>Beschreibung</t>
  </si>
  <si>
    <t>Datenquelle</t>
  </si>
  <si>
    <t>IQVIA PDE5-Detaildaten</t>
  </si>
  <si>
    <t>Monatl. Pack./Umsatz pro Produkt + Kanal</t>
  </si>
  <si>
    <t>IQVIA Prescription Analytics</t>
  </si>
  <si>
    <t>Apotheken-Empfehlungsverhalten</t>
  </si>
  <si>
    <t>Substitutionspraeferenzen bei OTC-Beratung</t>
  </si>
  <si>
    <t>IQVIA / GfK Panel</t>
  </si>
  <si>
    <t>Consumer-Tracking ED</t>
  </si>
  <si>
    <t>Awareness, Consideration, Trial auf Produktebene</t>
  </si>
  <si>
    <t>GfK / Kantar Consumer Panel</t>
  </si>
  <si>
    <t>Preiselastizitaet (gemessen)</t>
  </si>
  <si>
    <t>Conjoint-Analyse fuer OTC ED-Preispunkte</t>
  </si>
  <si>
    <t>Primaerforschung / Scanner-Daten</t>
  </si>
  <si>
    <t>Online-Kanal Split</t>
  </si>
  <si>
    <t>Marktanteile DocMorris vs. Shop Apotheke fuer ED</t>
  </si>
  <si>
    <t>SEMPORA / IQVIA</t>
  </si>
  <si>
    <t>Telemedizin-Umsatzdaten</t>
  </si>
  <si>
    <t>Tatsaechliche ED-Umsaetze Zava/GoSpring DE</t>
  </si>
  <si>
    <t>Firmenberichte (nicht-oeffentlich)</t>
  </si>
  <si>
    <t>BfArM Switch-Wahrscheinlichkeit</t>
  </si>
  <si>
    <t>Politische Dynamik BMG vs. SVA</t>
  </si>
  <si>
    <t>Regulatorische Intelligence</t>
  </si>
  <si>
    <t>Hinweis: Alle Daten synthetisch. Referenzen: UK Viagra Connect (2018), IQVIA PDE5-Markt DE, BfArM SVA-Protokolle, PMC Lee et al. 2021, Viatris Investor Relations. Kein Bezug zu vertraulichen Daten.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</si>
</sst>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%"/>
    <numFmt numFmtId="166" formatCode="€#,##0.00"/>
    <numFmt numFmtId="167" formatCode="€#,##0"/>
    <numFmt numFmtId="168" formatCode="0.00"/>
  </numFmts>
  <fonts count="13">
    <font>
      <sz val="11"/>
      <color theme="1"/>
      <name val="Calibri"/>
      <family val="2"/>
      <scheme val="minor"/>
    </font>
    <font>
      <b/>
      <sz val="16"/>
      <color rgb="FF1E3A5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2"/>
      <color rgb="FF1E3A5F"/>
      <name val="Calibri"/>
      <family val="2"/>
      <scheme val="minor"/>
    </font>
    <font>
      <b/>
      <sz val="10"/>
      <color rgb="FF374151"/>
      <name val="Calibri"/>
      <family val="2"/>
      <scheme val="minor"/>
    </font>
    <font>
      <b/>
      <sz val="11"/>
      <color rgb="FF1A237E"/>
      <name val="Calibri"/>
      <family val="2"/>
      <scheme val="minor"/>
    </font>
    <font>
      <i/>
      <sz val="9"/>
      <color rgb="FF9CA3A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1"/>
      <color rgb="FF1E3A5F"/>
      <name val="Calibri"/>
      <family val="2"/>
      <scheme val="minor"/>
    </font>
    <font>
      <b/>
      <sz val="14"/>
      <color rgb="FF1E3A5F"/>
      <name val="Calibri"/>
      <family val="2"/>
      <scheme val="minor"/>
    </font>
    <font>
      <b/>
      <sz val="14"/>
      <color rgb="FF134E4A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0F4FF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134E4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F2F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1E3A5F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E0B800"/>
      </left>
      <right style="thin">
        <color rgb="FFE0B800"/>
      </right>
      <top style="thin">
        <color rgb="FFE0B800"/>
      </top>
      <bottom style="thin">
        <color rgb="FFE0B8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0" borderId="0" xfId="0" applyFont="1" applyAlignment="1">
      <alignment vertical="center"/>
    </xf>
    <xf numFmtId="0" fontId="5" fillId="3" borderId="3" xfId="0" applyFont="1" applyFill="1" applyBorder="1"/>
    <xf numFmtId="0" fontId="6" fillId="0" borderId="0" xfId="0" applyFont="1" applyAlignment="1">
      <alignment vertical="center" wrapText="1"/>
    </xf>
    <xf numFmtId="164" fontId="5" fillId="3" borderId="3" xfId="0" applyNumberFormat="1" applyFont="1" applyFill="1" applyBorder="1"/>
    <xf numFmtId="165" fontId="5" fillId="3" borderId="3" xfId="0" applyNumberFormat="1" applyFont="1" applyFill="1" applyBorder="1"/>
    <xf numFmtId="166" fontId="5" fillId="3" borderId="3" xfId="0" applyNumberFormat="1" applyFont="1" applyFill="1" applyBorder="1"/>
    <xf numFmtId="0" fontId="7" fillId="4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165" fontId="0" fillId="0" borderId="0" xfId="0" applyNumberFormat="1"/>
    <xf numFmtId="166" fontId="0" fillId="0" borderId="0" xfId="0" applyNumberFormat="1"/>
    <xf numFmtId="0" fontId="7" fillId="5" borderId="4" xfId="0" applyFont="1" applyFill="1" applyBorder="1" applyAlignment="1">
      <alignment horizontal="center" vertical="center" wrapText="1"/>
    </xf>
    <xf numFmtId="164" fontId="0" fillId="0" borderId="0" xfId="0" applyNumberFormat="1"/>
    <xf numFmtId="167" fontId="0" fillId="0" borderId="0" xfId="0" applyNumberFormat="1"/>
    <xf numFmtId="0" fontId="0" fillId="6" borderId="0" xfId="0" applyFill="1"/>
    <xf numFmtId="164" fontId="0" fillId="6" borderId="0" xfId="0" applyNumberFormat="1" applyFill="1"/>
    <xf numFmtId="165" fontId="0" fillId="6" borderId="0" xfId="0" applyNumberFormat="1" applyFill="1"/>
    <xf numFmtId="167" fontId="0" fillId="6" borderId="0" xfId="0" applyNumberFormat="1" applyFill="1"/>
    <xf numFmtId="0" fontId="9" fillId="7" borderId="4" xfId="0" applyFont="1" applyFill="1" applyBorder="1"/>
    <xf numFmtId="167" fontId="10" fillId="7" borderId="4" xfId="0" applyNumberFormat="1" applyFont="1" applyFill="1" applyBorder="1" applyAlignment="1">
      <alignment horizontal="center"/>
    </xf>
    <xf numFmtId="165" fontId="11" fillId="8" borderId="4" xfId="0" applyNumberFormat="1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 vertical="center" wrapText="1"/>
    </xf>
    <xf numFmtId="168" fontId="0" fillId="0" borderId="0" xfId="0" applyNumberFormat="1"/>
    <xf numFmtId="0" fontId="12" fillId="10" borderId="4" xfId="0" applyFont="1" applyFill="1" applyBorder="1" applyAlignment="1">
      <alignment vertical="center" wrapText="1"/>
    </xf>
    <xf numFmtId="0" fontId="12" fillId="3" borderId="4" xfId="0" applyFont="1" applyFill="1" applyBorder="1" applyAlignment="1">
      <alignment vertical="center" wrapText="1"/>
    </xf>
    <xf numFmtId="0" fontId="12" fillId="11" borderId="4" xfId="0" applyFont="1" applyFill="1" applyBorder="1" applyAlignment="1">
      <alignment vertical="center" wrapText="1"/>
    </xf>
    <xf numFmtId="0" fontId="12" fillId="12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OTC-Volumen nach Vertriebskanal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Apotheke</c:v>
          </c:tx>
          <c:spPr>
            <a:solidFill>
              <a:srgbClr val="1E3A5F"/>
            </a:solidFill>
          </c:spPr>
          <c:cat>
            <c:numRef>
              <c:f>Apothekenverteilung!$B$5:$B$64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Apothekenverteilung!$C$5:$C$64</c:f>
              <c:numCache>
                <c:formatCode>General</c:formatCode>
                <c:ptCount val="60"/>
                <c:pt idx="0">
                  <c:v>89066</c:v>
                </c:pt>
                <c:pt idx="1">
                  <c:v>139415</c:v>
                </c:pt>
                <c:pt idx="2">
                  <c:v>176821</c:v>
                </c:pt>
                <c:pt idx="3">
                  <c:v>231928</c:v>
                </c:pt>
                <c:pt idx="4">
                  <c:v>313561</c:v>
                </c:pt>
                <c:pt idx="5">
                  <c:v>414109</c:v>
                </c:pt>
                <c:pt idx="6">
                  <c:v>486946</c:v>
                </c:pt>
                <c:pt idx="7">
                  <c:v>556364</c:v>
                </c:pt>
                <c:pt idx="8">
                  <c:v>616990</c:v>
                </c:pt>
                <c:pt idx="9">
                  <c:v>700626</c:v>
                </c:pt>
                <c:pt idx="10">
                  <c:v>776030</c:v>
                </c:pt>
                <c:pt idx="11">
                  <c:v>884315</c:v>
                </c:pt>
                <c:pt idx="12">
                  <c:v>848095</c:v>
                </c:pt>
                <c:pt idx="13">
                  <c:v>1033452</c:v>
                </c:pt>
                <c:pt idx="14">
                  <c:v>1019570</c:v>
                </c:pt>
                <c:pt idx="15">
                  <c:v>1045460</c:v>
                </c:pt>
                <c:pt idx="16">
                  <c:v>1116533</c:v>
                </c:pt>
                <c:pt idx="17">
                  <c:v>1183463</c:v>
                </c:pt>
                <c:pt idx="18">
                  <c:v>1140655</c:v>
                </c:pt>
                <c:pt idx="19">
                  <c:v>1093877</c:v>
                </c:pt>
                <c:pt idx="20">
                  <c:v>1044323</c:v>
                </c:pt>
                <c:pt idx="21">
                  <c:v>1046537</c:v>
                </c:pt>
                <c:pt idx="22">
                  <c:v>1047539</c:v>
                </c:pt>
                <c:pt idx="23">
                  <c:v>1101349</c:v>
                </c:pt>
                <c:pt idx="24">
                  <c:v>993449</c:v>
                </c:pt>
                <c:pt idx="25">
                  <c:v>1153286</c:v>
                </c:pt>
                <c:pt idx="26">
                  <c:v>1098239</c:v>
                </c:pt>
                <c:pt idx="27">
                  <c:v>1096521</c:v>
                </c:pt>
                <c:pt idx="28">
                  <c:v>1147941</c:v>
                </c:pt>
                <c:pt idx="29">
                  <c:v>1199009</c:v>
                </c:pt>
                <c:pt idx="30">
                  <c:v>1143496</c:v>
                </c:pt>
                <c:pt idx="31">
                  <c:v>1088115</c:v>
                </c:pt>
                <c:pt idx="32">
                  <c:v>1032896</c:v>
                </c:pt>
                <c:pt idx="33">
                  <c:v>1030647</c:v>
                </c:pt>
                <c:pt idx="34">
                  <c:v>1028364</c:v>
                </c:pt>
                <c:pt idx="35">
                  <c:v>1078607</c:v>
                </c:pt>
                <c:pt idx="36">
                  <c:v>971283</c:v>
                </c:pt>
                <c:pt idx="37">
                  <c:v>1125999</c:v>
                </c:pt>
                <c:pt idx="38">
                  <c:v>1071194</c:v>
                </c:pt>
                <c:pt idx="39">
                  <c:v>1068692</c:v>
                </c:pt>
                <c:pt idx="40">
                  <c:v>1118131</c:v>
                </c:pt>
                <c:pt idx="41">
                  <c:v>1167315</c:v>
                </c:pt>
                <c:pt idx="42">
                  <c:v>1112823</c:v>
                </c:pt>
                <c:pt idx="43">
                  <c:v>1058566</c:v>
                </c:pt>
                <c:pt idx="44">
                  <c:v>1004545</c:v>
                </c:pt>
                <c:pt idx="45">
                  <c:v>1002103</c:v>
                </c:pt>
                <c:pt idx="46">
                  <c:v>999652</c:v>
                </c:pt>
                <c:pt idx="47">
                  <c:v>1048285</c:v>
                </c:pt>
                <c:pt idx="48">
                  <c:v>943758</c:v>
                </c:pt>
                <c:pt idx="49">
                  <c:v>1093935</c:v>
                </c:pt>
                <c:pt idx="50">
                  <c:v>1040484</c:v>
                </c:pt>
                <c:pt idx="51">
                  <c:v>1037867</c:v>
                </c:pt>
                <c:pt idx="52">
                  <c:v>1085705</c:v>
                </c:pt>
                <c:pt idx="53">
                  <c:v>1133282</c:v>
                </c:pt>
                <c:pt idx="54">
                  <c:v>1080175</c:v>
                </c:pt>
                <c:pt idx="55">
                  <c:v>1027316</c:v>
                </c:pt>
                <c:pt idx="56">
                  <c:v>974703</c:v>
                </c:pt>
                <c:pt idx="57">
                  <c:v>972165</c:v>
                </c:pt>
                <c:pt idx="58">
                  <c:v>969620</c:v>
                </c:pt>
                <c:pt idx="59">
                  <c:v>1016633</c:v>
                </c:pt>
              </c:numCache>
            </c:numRef>
          </c:val>
        </c:ser>
        <c:ser>
          <c:idx val="1"/>
          <c:order val="1"/>
          <c:tx>
            <c:v>Online</c:v>
          </c:tx>
          <c:spPr>
            <a:solidFill>
              <a:srgbClr val="0D9488"/>
            </a:solidFill>
          </c:spPr>
          <c:cat>
            <c:numRef>
              <c:f>Apothekenverteilung!$B$5:$B$64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Apothekenverteilung!$F$5:$F$64</c:f>
              <c:numCache>
                <c:formatCode>General</c:formatCode>
                <c:ptCount val="60"/>
                <c:pt idx="0">
                  <c:v>76666</c:v>
                </c:pt>
                <c:pt idx="1">
                  <c:v>120815</c:v>
                </c:pt>
                <c:pt idx="2">
                  <c:v>154264</c:v>
                </c:pt>
                <c:pt idx="3">
                  <c:v>203705</c:v>
                </c:pt>
                <c:pt idx="4">
                  <c:v>277260</c:v>
                </c:pt>
                <c:pt idx="5">
                  <c:v>368634</c:v>
                </c:pt>
                <c:pt idx="6">
                  <c:v>436389</c:v>
                </c:pt>
                <c:pt idx="7">
                  <c:v>501954</c:v>
                </c:pt>
                <c:pt idx="8">
                  <c:v>560394</c:v>
                </c:pt>
                <c:pt idx="9">
                  <c:v>640635</c:v>
                </c:pt>
                <c:pt idx="10">
                  <c:v>714349</c:v>
                </c:pt>
                <c:pt idx="11">
                  <c:v>819493</c:v>
                </c:pt>
                <c:pt idx="12">
                  <c:v>791203</c:v>
                </c:pt>
                <c:pt idx="13">
                  <c:v>970595</c:v>
                </c:pt>
                <c:pt idx="14">
                  <c:v>963979</c:v>
                </c:pt>
                <c:pt idx="15">
                  <c:v>995085</c:v>
                </c:pt>
                <c:pt idx="16">
                  <c:v>1069857</c:v>
                </c:pt>
                <c:pt idx="17">
                  <c:v>1141586</c:v>
                </c:pt>
                <c:pt idx="18">
                  <c:v>1107664</c:v>
                </c:pt>
                <c:pt idx="19">
                  <c:v>1069353</c:v>
                </c:pt>
                <c:pt idx="20">
                  <c:v>1027746</c:v>
                </c:pt>
                <c:pt idx="21">
                  <c:v>1036819</c:v>
                </c:pt>
                <c:pt idx="22">
                  <c:v>1044758</c:v>
                </c:pt>
                <c:pt idx="23">
                  <c:v>1105776</c:v>
                </c:pt>
                <c:pt idx="24">
                  <c:v>1004117</c:v>
                </c:pt>
                <c:pt idx="25">
                  <c:v>1173468</c:v>
                </c:pt>
                <c:pt idx="26">
                  <c:v>1124934</c:v>
                </c:pt>
                <c:pt idx="27">
                  <c:v>1130687</c:v>
                </c:pt>
                <c:pt idx="28">
                  <c:v>1191628</c:v>
                </c:pt>
                <c:pt idx="29">
                  <c:v>1252965</c:v>
                </c:pt>
                <c:pt idx="30">
                  <c:v>1202946</c:v>
                </c:pt>
                <c:pt idx="31">
                  <c:v>1152343</c:v>
                </c:pt>
                <c:pt idx="32">
                  <c:v>1101181</c:v>
                </c:pt>
                <c:pt idx="33">
                  <c:v>1106135</c:v>
                </c:pt>
                <c:pt idx="34">
                  <c:v>1111069</c:v>
                </c:pt>
                <c:pt idx="35">
                  <c:v>1173150</c:v>
                </c:pt>
                <c:pt idx="36">
                  <c:v>1063489</c:v>
                </c:pt>
                <c:pt idx="37">
                  <c:v>1241144</c:v>
                </c:pt>
                <c:pt idx="38">
                  <c:v>1188639</c:v>
                </c:pt>
                <c:pt idx="39">
                  <c:v>1193803</c:v>
                </c:pt>
                <c:pt idx="40">
                  <c:v>1257394</c:v>
                </c:pt>
                <c:pt idx="41">
                  <c:v>1321498</c:v>
                </c:pt>
                <c:pt idx="42">
                  <c:v>1268250</c:v>
                </c:pt>
                <c:pt idx="43">
                  <c:v>1214501</c:v>
                </c:pt>
                <c:pt idx="44">
                  <c:v>1160249</c:v>
                </c:pt>
                <c:pt idx="45">
                  <c:v>1165191</c:v>
                </c:pt>
                <c:pt idx="46">
                  <c:v>1170140</c:v>
                </c:pt>
                <c:pt idx="47">
                  <c:v>1235304</c:v>
                </c:pt>
                <c:pt idx="48">
                  <c:v>1119596</c:v>
                </c:pt>
                <c:pt idx="49">
                  <c:v>1306471</c:v>
                </c:pt>
                <c:pt idx="50">
                  <c:v>1250986</c:v>
                </c:pt>
                <c:pt idx="51">
                  <c:v>1256230</c:v>
                </c:pt>
                <c:pt idx="52">
                  <c:v>1322973</c:v>
                </c:pt>
                <c:pt idx="53">
                  <c:v>1390241</c:v>
                </c:pt>
                <c:pt idx="54">
                  <c:v>1334017</c:v>
                </c:pt>
                <c:pt idx="55">
                  <c:v>1277283</c:v>
                </c:pt>
                <c:pt idx="56">
                  <c:v>1220039</c:v>
                </c:pt>
                <c:pt idx="57">
                  <c:v>1225071</c:v>
                </c:pt>
                <c:pt idx="58">
                  <c:v>1230111</c:v>
                </c:pt>
                <c:pt idx="59">
                  <c:v>1298466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Tabletten</a:t>
                </a:r>
              </a:p>
            </c:rich>
          </c:tx>
          <c:layout/>
        </c:title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Dual-Kanal: Rx vs. OTC Tabletten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Rx Tabletten</c:v>
          </c:tx>
          <c:spPr>
            <a:ln w="31750">
              <a:solidFill>
                <a:srgbClr val="2563EB"/>
              </a:solidFill>
            </a:ln>
          </c:spPr>
          <c:marker>
            <c:symbol val="none"/>
          </c:marker>
          <c:cat>
            <c:numRef>
              <c:f>Forecast!$B$9:$B$68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Forecast!$C$9:$C$68</c:f>
              <c:numCache>
                <c:formatCode>General</c:formatCode>
                <c:ptCount val="60"/>
                <c:pt idx="0">
                  <c:v>867839</c:v>
                </c:pt>
                <c:pt idx="1">
                  <c:v>867679</c:v>
                </c:pt>
                <c:pt idx="2">
                  <c:v>867519</c:v>
                </c:pt>
                <c:pt idx="3">
                  <c:v>867360</c:v>
                </c:pt>
                <c:pt idx="4">
                  <c:v>867200</c:v>
                </c:pt>
                <c:pt idx="5">
                  <c:v>867042</c:v>
                </c:pt>
                <c:pt idx="6">
                  <c:v>866883</c:v>
                </c:pt>
                <c:pt idx="7">
                  <c:v>866725</c:v>
                </c:pt>
                <c:pt idx="8">
                  <c:v>866567</c:v>
                </c:pt>
                <c:pt idx="9">
                  <c:v>866410</c:v>
                </c:pt>
                <c:pt idx="10">
                  <c:v>866253</c:v>
                </c:pt>
                <c:pt idx="11">
                  <c:v>866097</c:v>
                </c:pt>
                <c:pt idx="12">
                  <c:v>865940</c:v>
                </c:pt>
                <c:pt idx="13">
                  <c:v>865784</c:v>
                </c:pt>
                <c:pt idx="14">
                  <c:v>865629</c:v>
                </c:pt>
                <c:pt idx="15">
                  <c:v>865474</c:v>
                </c:pt>
                <c:pt idx="16">
                  <c:v>865319</c:v>
                </c:pt>
                <c:pt idx="17">
                  <c:v>865165</c:v>
                </c:pt>
                <c:pt idx="18">
                  <c:v>865010</c:v>
                </c:pt>
                <c:pt idx="19">
                  <c:v>864857</c:v>
                </c:pt>
                <c:pt idx="20">
                  <c:v>864703</c:v>
                </c:pt>
                <c:pt idx="21">
                  <c:v>864550</c:v>
                </c:pt>
                <c:pt idx="22">
                  <c:v>864398</c:v>
                </c:pt>
                <c:pt idx="23">
                  <c:v>864245</c:v>
                </c:pt>
                <c:pt idx="24">
                  <c:v>864093</c:v>
                </c:pt>
                <c:pt idx="25">
                  <c:v>863942</c:v>
                </c:pt>
                <c:pt idx="26">
                  <c:v>863790</c:v>
                </c:pt>
                <c:pt idx="27">
                  <c:v>863640</c:v>
                </c:pt>
                <c:pt idx="28">
                  <c:v>863489</c:v>
                </c:pt>
                <c:pt idx="29">
                  <c:v>863339</c:v>
                </c:pt>
                <c:pt idx="30">
                  <c:v>863189</c:v>
                </c:pt>
                <c:pt idx="31">
                  <c:v>863039</c:v>
                </c:pt>
                <c:pt idx="32">
                  <c:v>862890</c:v>
                </c:pt>
                <c:pt idx="33">
                  <c:v>862741</c:v>
                </c:pt>
                <c:pt idx="34">
                  <c:v>862593</c:v>
                </c:pt>
                <c:pt idx="35">
                  <c:v>862445</c:v>
                </c:pt>
                <c:pt idx="36">
                  <c:v>862297</c:v>
                </c:pt>
                <c:pt idx="37">
                  <c:v>862150</c:v>
                </c:pt>
                <c:pt idx="38">
                  <c:v>862002</c:v>
                </c:pt>
                <c:pt idx="39">
                  <c:v>861856</c:v>
                </c:pt>
                <c:pt idx="40">
                  <c:v>861709</c:v>
                </c:pt>
                <c:pt idx="41">
                  <c:v>861563</c:v>
                </c:pt>
                <c:pt idx="42">
                  <c:v>861417</c:v>
                </c:pt>
                <c:pt idx="43">
                  <c:v>861272</c:v>
                </c:pt>
                <c:pt idx="44">
                  <c:v>861127</c:v>
                </c:pt>
                <c:pt idx="45">
                  <c:v>860982</c:v>
                </c:pt>
                <c:pt idx="46">
                  <c:v>860838</c:v>
                </c:pt>
                <c:pt idx="47">
                  <c:v>860694</c:v>
                </c:pt>
                <c:pt idx="48">
                  <c:v>860550</c:v>
                </c:pt>
                <c:pt idx="49">
                  <c:v>860406</c:v>
                </c:pt>
                <c:pt idx="50">
                  <c:v>860263</c:v>
                </c:pt>
                <c:pt idx="51">
                  <c:v>860121</c:v>
                </c:pt>
                <c:pt idx="52">
                  <c:v>859978</c:v>
                </c:pt>
                <c:pt idx="53">
                  <c:v>859836</c:v>
                </c:pt>
                <c:pt idx="54">
                  <c:v>859694</c:v>
                </c:pt>
                <c:pt idx="55">
                  <c:v>859553</c:v>
                </c:pt>
                <c:pt idx="56">
                  <c:v>859412</c:v>
                </c:pt>
                <c:pt idx="57">
                  <c:v>859271</c:v>
                </c:pt>
                <c:pt idx="58">
                  <c:v>859131</c:v>
                </c:pt>
                <c:pt idx="59">
                  <c:v>858990</c:v>
                </c:pt>
              </c:numCache>
            </c:numRef>
          </c:val>
        </c:ser>
        <c:ser>
          <c:idx val="1"/>
          <c:order val="1"/>
          <c:tx>
            <c:v>OTC Tabletten</c:v>
          </c:tx>
          <c:spPr>
            <a:ln w="31750">
              <a:solidFill>
                <a:srgbClr val="0D9488"/>
              </a:solidFill>
            </a:ln>
          </c:spPr>
          <c:marker>
            <c:symbol val="none"/>
          </c:marker>
          <c:cat>
            <c:numRef>
              <c:f>Forecast!$B$9:$B$68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Forecast!$E$9:$E$68</c:f>
              <c:numCache>
                <c:formatCode>General</c:formatCode>
                <c:ptCount val="60"/>
                <c:pt idx="0">
                  <c:v>165731</c:v>
                </c:pt>
                <c:pt idx="1">
                  <c:v>260230</c:v>
                </c:pt>
                <c:pt idx="2">
                  <c:v>331086</c:v>
                </c:pt>
                <c:pt idx="3">
                  <c:v>435633</c:v>
                </c:pt>
                <c:pt idx="4">
                  <c:v>590821</c:v>
                </c:pt>
                <c:pt idx="5">
                  <c:v>782743</c:v>
                </c:pt>
                <c:pt idx="6">
                  <c:v>923335</c:v>
                </c:pt>
                <c:pt idx="7">
                  <c:v>1058318</c:v>
                </c:pt>
                <c:pt idx="8">
                  <c:v>1177385</c:v>
                </c:pt>
                <c:pt idx="9">
                  <c:v>1341260</c:v>
                </c:pt>
                <c:pt idx="10">
                  <c:v>1490378</c:v>
                </c:pt>
                <c:pt idx="11">
                  <c:v>1703807</c:v>
                </c:pt>
                <c:pt idx="12">
                  <c:v>1639299</c:v>
                </c:pt>
                <c:pt idx="13">
                  <c:v>2004047</c:v>
                </c:pt>
                <c:pt idx="14">
                  <c:v>1983550</c:v>
                </c:pt>
                <c:pt idx="15">
                  <c:v>2040544</c:v>
                </c:pt>
                <c:pt idx="16">
                  <c:v>2186390</c:v>
                </c:pt>
                <c:pt idx="17">
                  <c:v>2325049</c:v>
                </c:pt>
                <c:pt idx="18">
                  <c:v>2248320</c:v>
                </c:pt>
                <c:pt idx="19">
                  <c:v>2163231</c:v>
                </c:pt>
                <c:pt idx="20">
                  <c:v>2072069</c:v>
                </c:pt>
                <c:pt idx="21">
                  <c:v>2083356</c:v>
                </c:pt>
                <c:pt idx="22">
                  <c:v>2092297</c:v>
                </c:pt>
                <c:pt idx="23">
                  <c:v>2207125</c:v>
                </c:pt>
                <c:pt idx="24">
                  <c:v>1997566</c:v>
                </c:pt>
                <c:pt idx="25">
                  <c:v>2326754</c:v>
                </c:pt>
                <c:pt idx="26">
                  <c:v>2223172</c:v>
                </c:pt>
                <c:pt idx="27">
                  <c:v>2227208</c:v>
                </c:pt>
                <c:pt idx="28">
                  <c:v>2339569</c:v>
                </c:pt>
                <c:pt idx="29">
                  <c:v>2451974</c:v>
                </c:pt>
                <c:pt idx="30">
                  <c:v>2346442</c:v>
                </c:pt>
                <c:pt idx="31">
                  <c:v>2240457</c:v>
                </c:pt>
                <c:pt idx="32">
                  <c:v>2134077</c:v>
                </c:pt>
                <c:pt idx="33">
                  <c:v>2136783</c:v>
                </c:pt>
                <c:pt idx="34">
                  <c:v>2139433</c:v>
                </c:pt>
                <c:pt idx="35">
                  <c:v>2251757</c:v>
                </c:pt>
                <c:pt idx="36">
                  <c:v>2034772</c:v>
                </c:pt>
                <c:pt idx="37">
                  <c:v>2367143</c:v>
                </c:pt>
                <c:pt idx="38">
                  <c:v>2259834</c:v>
                </c:pt>
                <c:pt idx="39">
                  <c:v>2262494</c:v>
                </c:pt>
                <c:pt idx="40">
                  <c:v>2375525</c:v>
                </c:pt>
                <c:pt idx="41">
                  <c:v>2488813</c:v>
                </c:pt>
                <c:pt idx="42">
                  <c:v>2381073</c:v>
                </c:pt>
                <c:pt idx="43">
                  <c:v>2273067</c:v>
                </c:pt>
                <c:pt idx="44">
                  <c:v>2164794</c:v>
                </c:pt>
                <c:pt idx="45">
                  <c:v>2167294</c:v>
                </c:pt>
                <c:pt idx="46">
                  <c:v>2169792</c:v>
                </c:pt>
                <c:pt idx="47">
                  <c:v>2283589</c:v>
                </c:pt>
                <c:pt idx="48">
                  <c:v>2063355</c:v>
                </c:pt>
                <c:pt idx="49">
                  <c:v>2400406</c:v>
                </c:pt>
                <c:pt idx="50">
                  <c:v>2291470</c:v>
                </c:pt>
                <c:pt idx="51">
                  <c:v>2294096</c:v>
                </c:pt>
                <c:pt idx="52">
                  <c:v>2408678</c:v>
                </c:pt>
                <c:pt idx="53">
                  <c:v>2523523</c:v>
                </c:pt>
                <c:pt idx="54">
                  <c:v>2414192</c:v>
                </c:pt>
                <c:pt idx="55">
                  <c:v>2304599</c:v>
                </c:pt>
                <c:pt idx="56">
                  <c:v>2194743</c:v>
                </c:pt>
                <c:pt idx="57">
                  <c:v>2197237</c:v>
                </c:pt>
                <c:pt idx="58">
                  <c:v>2199731</c:v>
                </c:pt>
                <c:pt idx="59">
                  <c:v>2315100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Tabletten / Monat</a:t>
                </a:r>
              </a:p>
            </c:rich>
          </c:tx>
          <c:layout/>
        </c:title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OTC: Viagra Connect vs. Generika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Viagra Connect</c:v>
          </c:tx>
          <c:spPr>
            <a:solidFill>
              <a:srgbClr val="1E40AF"/>
            </a:solidFill>
          </c:spPr>
          <c:cat>
            <c:numRef>
              <c:f>Forecast!$B$9:$B$68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Forecast!$I$9:$I$68</c:f>
              <c:numCache>
                <c:formatCode>General</c:formatCode>
                <c:ptCount val="60"/>
                <c:pt idx="0">
                  <c:v>40880</c:v>
                </c:pt>
                <c:pt idx="1">
                  <c:v>63323</c:v>
                </c:pt>
                <c:pt idx="2">
                  <c:v>79461</c:v>
                </c:pt>
                <c:pt idx="3">
                  <c:v>103100</c:v>
                </c:pt>
                <c:pt idx="4">
                  <c:v>137858</c:v>
                </c:pt>
                <c:pt idx="5">
                  <c:v>180031</c:v>
                </c:pt>
                <c:pt idx="6">
                  <c:v>209289</c:v>
                </c:pt>
                <c:pt idx="7">
                  <c:v>236358</c:v>
                </c:pt>
                <c:pt idx="8">
                  <c:v>259025</c:v>
                </c:pt>
                <c:pt idx="9">
                  <c:v>290606</c:v>
                </c:pt>
                <c:pt idx="10">
                  <c:v>317947</c:v>
                </c:pt>
                <c:pt idx="11">
                  <c:v>357799</c:v>
                </c:pt>
                <c:pt idx="12">
                  <c:v>338788</c:v>
                </c:pt>
                <c:pt idx="13">
                  <c:v>407490</c:v>
                </c:pt>
                <c:pt idx="14">
                  <c:v>396710</c:v>
                </c:pt>
                <c:pt idx="15">
                  <c:v>401307</c:v>
                </c:pt>
                <c:pt idx="16">
                  <c:v>422702</c:v>
                </c:pt>
                <c:pt idx="17">
                  <c:v>441759</c:v>
                </c:pt>
                <c:pt idx="18">
                  <c:v>419686</c:v>
                </c:pt>
                <c:pt idx="19">
                  <c:v>396592</c:v>
                </c:pt>
                <c:pt idx="20">
                  <c:v>372972</c:v>
                </c:pt>
                <c:pt idx="21">
                  <c:v>368060</c:v>
                </c:pt>
                <c:pt idx="22">
                  <c:v>362665</c:v>
                </c:pt>
                <c:pt idx="23">
                  <c:v>375211</c:v>
                </c:pt>
                <c:pt idx="24">
                  <c:v>332928</c:v>
                </c:pt>
                <c:pt idx="25">
                  <c:v>380036</c:v>
                </c:pt>
                <c:pt idx="26">
                  <c:v>355708</c:v>
                </c:pt>
                <c:pt idx="27">
                  <c:v>348929</c:v>
                </c:pt>
                <c:pt idx="28">
                  <c:v>358734</c:v>
                </c:pt>
                <c:pt idx="29">
                  <c:v>367796</c:v>
                </c:pt>
                <c:pt idx="30">
                  <c:v>344145</c:v>
                </c:pt>
                <c:pt idx="31">
                  <c:v>321132</c:v>
                </c:pt>
                <c:pt idx="32">
                  <c:v>298771</c:v>
                </c:pt>
                <c:pt idx="33">
                  <c:v>292027</c:v>
                </c:pt>
                <c:pt idx="34">
                  <c:v>285258</c:v>
                </c:pt>
                <c:pt idx="35">
                  <c:v>292728</c:v>
                </c:pt>
                <c:pt idx="36">
                  <c:v>257738</c:v>
                </c:pt>
                <c:pt idx="37">
                  <c:v>291948</c:v>
                </c:pt>
                <c:pt idx="38">
                  <c:v>271180</c:v>
                </c:pt>
                <c:pt idx="39">
                  <c:v>263958</c:v>
                </c:pt>
                <c:pt idx="40">
                  <c:v>269226</c:v>
                </c:pt>
                <c:pt idx="41">
                  <c:v>273769</c:v>
                </c:pt>
                <c:pt idx="42">
                  <c:v>253981</c:v>
                </c:pt>
                <c:pt idx="43">
                  <c:v>234884</c:v>
                </c:pt>
                <c:pt idx="44">
                  <c:v>216479</c:v>
                </c:pt>
                <c:pt idx="45">
                  <c:v>216729</c:v>
                </c:pt>
                <c:pt idx="46">
                  <c:v>216979</c:v>
                </c:pt>
                <c:pt idx="47">
                  <c:v>228359</c:v>
                </c:pt>
                <c:pt idx="48">
                  <c:v>206336</c:v>
                </c:pt>
                <c:pt idx="49">
                  <c:v>240041</c:v>
                </c:pt>
                <c:pt idx="50">
                  <c:v>229147</c:v>
                </c:pt>
                <c:pt idx="51">
                  <c:v>229410</c:v>
                </c:pt>
                <c:pt idx="52">
                  <c:v>240868</c:v>
                </c:pt>
                <c:pt idx="53">
                  <c:v>252352</c:v>
                </c:pt>
                <c:pt idx="54">
                  <c:v>241419</c:v>
                </c:pt>
                <c:pt idx="55">
                  <c:v>230460</c:v>
                </c:pt>
                <c:pt idx="56">
                  <c:v>219474</c:v>
                </c:pt>
                <c:pt idx="57">
                  <c:v>219724</c:v>
                </c:pt>
                <c:pt idx="58">
                  <c:v>219973</c:v>
                </c:pt>
                <c:pt idx="59">
                  <c:v>231510</c:v>
                </c:pt>
              </c:numCache>
            </c:numRef>
          </c:val>
        </c:ser>
        <c:ser>
          <c:idx val="1"/>
          <c:order val="1"/>
          <c:tx>
            <c:v>Generika OTC</c:v>
          </c:tx>
          <c:spPr>
            <a:solidFill>
              <a:srgbClr val="94A3B8"/>
            </a:solidFill>
          </c:spPr>
          <c:cat>
            <c:numRef>
              <c:f>Forecast!$B$9:$B$68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Forecast!$J$9:$J$68</c:f>
              <c:numCache>
                <c:formatCode>General</c:formatCode>
                <c:ptCount val="60"/>
                <c:pt idx="0">
                  <c:v>124851</c:v>
                </c:pt>
                <c:pt idx="1">
                  <c:v>196907</c:v>
                </c:pt>
                <c:pt idx="2">
                  <c:v>251625</c:v>
                </c:pt>
                <c:pt idx="3">
                  <c:v>332533</c:v>
                </c:pt>
                <c:pt idx="4">
                  <c:v>452963</c:v>
                </c:pt>
                <c:pt idx="5">
                  <c:v>602712</c:v>
                </c:pt>
                <c:pt idx="6">
                  <c:v>714046</c:v>
                </c:pt>
                <c:pt idx="7">
                  <c:v>821960</c:v>
                </c:pt>
                <c:pt idx="8">
                  <c:v>918360</c:v>
                </c:pt>
                <c:pt idx="9">
                  <c:v>1050654</c:v>
                </c:pt>
                <c:pt idx="10">
                  <c:v>1172431</c:v>
                </c:pt>
                <c:pt idx="11">
                  <c:v>1346008</c:v>
                </c:pt>
                <c:pt idx="12">
                  <c:v>1300511</c:v>
                </c:pt>
                <c:pt idx="13">
                  <c:v>1596557</c:v>
                </c:pt>
                <c:pt idx="14">
                  <c:v>1586840</c:v>
                </c:pt>
                <c:pt idx="15">
                  <c:v>1639237</c:v>
                </c:pt>
                <c:pt idx="16">
                  <c:v>1763688</c:v>
                </c:pt>
                <c:pt idx="17">
                  <c:v>1883290</c:v>
                </c:pt>
                <c:pt idx="18">
                  <c:v>1828634</c:v>
                </c:pt>
                <c:pt idx="19">
                  <c:v>1766639</c:v>
                </c:pt>
                <c:pt idx="20">
                  <c:v>1699097</c:v>
                </c:pt>
                <c:pt idx="21">
                  <c:v>1715296</c:v>
                </c:pt>
                <c:pt idx="22">
                  <c:v>1729632</c:v>
                </c:pt>
                <c:pt idx="23">
                  <c:v>1831914</c:v>
                </c:pt>
                <c:pt idx="24">
                  <c:v>1664638</c:v>
                </c:pt>
                <c:pt idx="25">
                  <c:v>1946718</c:v>
                </c:pt>
                <c:pt idx="26">
                  <c:v>1867464</c:v>
                </c:pt>
                <c:pt idx="27">
                  <c:v>1878279</c:v>
                </c:pt>
                <c:pt idx="28">
                  <c:v>1980835</c:v>
                </c:pt>
                <c:pt idx="29">
                  <c:v>2084178</c:v>
                </c:pt>
                <c:pt idx="30">
                  <c:v>2002297</c:v>
                </c:pt>
                <c:pt idx="31">
                  <c:v>1919325</c:v>
                </c:pt>
                <c:pt idx="32">
                  <c:v>1835306</c:v>
                </c:pt>
                <c:pt idx="33">
                  <c:v>1844756</c:v>
                </c:pt>
                <c:pt idx="34">
                  <c:v>1854175</c:v>
                </c:pt>
                <c:pt idx="35">
                  <c:v>1959029</c:v>
                </c:pt>
                <c:pt idx="36">
                  <c:v>1777034</c:v>
                </c:pt>
                <c:pt idx="37">
                  <c:v>2075195</c:v>
                </c:pt>
                <c:pt idx="38">
                  <c:v>1988654</c:v>
                </c:pt>
                <c:pt idx="39">
                  <c:v>1998536</c:v>
                </c:pt>
                <c:pt idx="40">
                  <c:v>2106299</c:v>
                </c:pt>
                <c:pt idx="41">
                  <c:v>2215044</c:v>
                </c:pt>
                <c:pt idx="42">
                  <c:v>2127092</c:v>
                </c:pt>
                <c:pt idx="43">
                  <c:v>2038183</c:v>
                </c:pt>
                <c:pt idx="44">
                  <c:v>1948315</c:v>
                </c:pt>
                <c:pt idx="45">
                  <c:v>1950565</c:v>
                </c:pt>
                <c:pt idx="46">
                  <c:v>1952813</c:v>
                </c:pt>
                <c:pt idx="47">
                  <c:v>2055230</c:v>
                </c:pt>
                <c:pt idx="48">
                  <c:v>1857020</c:v>
                </c:pt>
                <c:pt idx="49">
                  <c:v>2160365</c:v>
                </c:pt>
                <c:pt idx="50">
                  <c:v>2062323</c:v>
                </c:pt>
                <c:pt idx="51">
                  <c:v>2064686</c:v>
                </c:pt>
                <c:pt idx="52">
                  <c:v>2167810</c:v>
                </c:pt>
                <c:pt idx="53">
                  <c:v>2271171</c:v>
                </c:pt>
                <c:pt idx="54">
                  <c:v>2172773</c:v>
                </c:pt>
                <c:pt idx="55">
                  <c:v>2074139</c:v>
                </c:pt>
                <c:pt idx="56">
                  <c:v>1975269</c:v>
                </c:pt>
                <c:pt idx="57">
                  <c:v>1977513</c:v>
                </c:pt>
                <c:pt idx="58">
                  <c:v>1979758</c:v>
                </c:pt>
                <c:pt idx="59">
                  <c:v>2083590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Tabletten / Monat</a:t>
                </a:r>
              </a:p>
            </c:rich>
          </c:tx>
          <c:layout/>
        </c:title>
        <c:numFmt formatCode="#,##0" sourceLinked="0"/>
        <c:tickLblPos val="nextTo"/>
        <c:crossAx val="500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65</xdr:row>
      <xdr:rowOff>0</xdr:rowOff>
    </xdr:from>
    <xdr:to>
      <xdr:col>8</xdr:col>
      <xdr:colOff>885825</xdr:colOff>
      <xdr:row>84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69</xdr:row>
      <xdr:rowOff>0</xdr:rowOff>
    </xdr:from>
    <xdr:to>
      <xdr:col>8</xdr:col>
      <xdr:colOff>885825</xdr:colOff>
      <xdr:row>88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69</xdr:row>
      <xdr:rowOff>0</xdr:rowOff>
    </xdr:from>
    <xdr:to>
      <xdr:col>16</xdr:col>
      <xdr:colOff>752475</xdr:colOff>
      <xdr:row>88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B800"/>
  </sheetPr>
  <dimension ref="B2:E55"/>
  <sheetViews>
    <sheetView showGridLines="0" tabSelected="1" workbookViewId="0"/>
  </sheetViews>
  <sheetFormatPr defaultRowHeight="15"/>
  <cols>
    <col min="1" max="1" width="3.7109375" customWidth="1"/>
    <col min="2" max="2" width="44.7109375" customWidth="1"/>
    <col min="3" max="3" width="18.7109375" customWidth="1"/>
    <col min="4" max="4" width="55.7109375" customWidth="1"/>
  </cols>
  <sheetData>
    <row r="2" spans="2:4">
      <c r="B2" s="1" t="s">
        <v>0</v>
      </c>
      <c r="C2" s="1"/>
      <c r="D2" s="1"/>
    </row>
    <row r="3" spans="2:4">
      <c r="B3" s="2" t="s">
        <v>1</v>
      </c>
      <c r="C3" s="2"/>
      <c r="D3" s="2"/>
    </row>
    <row r="5" spans="2:4">
      <c r="B5" s="3" t="s">
        <v>2</v>
      </c>
      <c r="C5" s="3"/>
      <c r="D5" s="3"/>
    </row>
    <row r="6" spans="2:4">
      <c r="B6" s="4" t="s">
        <v>3</v>
      </c>
      <c r="C6" s="5" t="s">
        <v>4</v>
      </c>
      <c r="D6" s="6" t="s">
        <v>5</v>
      </c>
    </row>
    <row r="7" spans="2:4">
      <c r="B7" s="4" t="s">
        <v>6</v>
      </c>
      <c r="C7" s="5" t="s">
        <v>7</v>
      </c>
      <c r="D7" s="6" t="s">
        <v>8</v>
      </c>
    </row>
    <row r="8" spans="2:4">
      <c r="B8" s="4" t="s">
        <v>9</v>
      </c>
      <c r="C8" s="5" t="s">
        <v>10</v>
      </c>
      <c r="D8" s="6" t="s">
        <v>11</v>
      </c>
    </row>
    <row r="9" spans="2:4">
      <c r="B9" s="4" t="s">
        <v>12</v>
      </c>
      <c r="C9" s="5" t="s">
        <v>13</v>
      </c>
      <c r="D9" s="6" t="s">
        <v>14</v>
      </c>
    </row>
    <row r="10" spans="2:4">
      <c r="B10" s="4" t="s">
        <v>15</v>
      </c>
      <c r="C10" s="7">
        <v>5000000</v>
      </c>
      <c r="D10" s="6" t="s">
        <v>16</v>
      </c>
    </row>
    <row r="11" spans="2:4">
      <c r="B11" s="4" t="s">
        <v>17</v>
      </c>
      <c r="C11" s="8">
        <v>0.33</v>
      </c>
      <c r="D11" s="6" t="s">
        <v>18</v>
      </c>
    </row>
    <row r="12" spans="2:4">
      <c r="B12" s="4" t="s">
        <v>19</v>
      </c>
      <c r="C12" s="7">
        <v>3350000</v>
      </c>
      <c r="D12" s="6" t="s">
        <v>20</v>
      </c>
    </row>
    <row r="14" spans="2:4">
      <c r="B14" s="3" t="s">
        <v>21</v>
      </c>
      <c r="C14" s="3"/>
      <c r="D14" s="3"/>
    </row>
    <row r="15" spans="2:4">
      <c r="B15" s="4" t="s">
        <v>22</v>
      </c>
      <c r="C15" s="7">
        <v>868000</v>
      </c>
      <c r="D15" s="6" t="s">
        <v>23</v>
      </c>
    </row>
    <row r="16" spans="2:4">
      <c r="B16" s="4" t="s">
        <v>24</v>
      </c>
      <c r="C16" s="9">
        <v>11.19</v>
      </c>
      <c r="D16" s="6" t="s">
        <v>25</v>
      </c>
    </row>
    <row r="17" spans="2:4">
      <c r="B17" s="4" t="s">
        <v>26</v>
      </c>
      <c r="C17" s="9">
        <v>1.5</v>
      </c>
      <c r="D17" s="6" t="s">
        <v>27</v>
      </c>
    </row>
    <row r="18" spans="2:4">
      <c r="B18" s="4" t="s">
        <v>28</v>
      </c>
      <c r="C18" s="8">
        <v>0.1</v>
      </c>
      <c r="D18" s="6" t="s">
        <v>29</v>
      </c>
    </row>
    <row r="19" spans="2:4">
      <c r="B19" s="4" t="s">
        <v>30</v>
      </c>
      <c r="C19" s="8">
        <v>0.08</v>
      </c>
      <c r="D19" s="6" t="s">
        <v>31</v>
      </c>
    </row>
    <row r="20" spans="2:4">
      <c r="B20" s="4" t="s">
        <v>32</v>
      </c>
      <c r="C20" s="5" t="s">
        <v>33</v>
      </c>
      <c r="D20" s="6" t="s">
        <v>34</v>
      </c>
    </row>
    <row r="22" spans="2:4">
      <c r="B22" s="3" t="s">
        <v>35</v>
      </c>
      <c r="C22" s="3"/>
      <c r="D22" s="3"/>
    </row>
    <row r="23" spans="2:4">
      <c r="B23" s="4" t="s">
        <v>36</v>
      </c>
      <c r="C23" s="9">
        <v>5.99</v>
      </c>
      <c r="D23" s="6" t="s">
        <v>37</v>
      </c>
    </row>
    <row r="24" spans="2:4">
      <c r="B24" s="4" t="s">
        <v>38</v>
      </c>
      <c r="C24" s="7">
        <v>2100000</v>
      </c>
      <c r="D24" s="6" t="s">
        <v>39</v>
      </c>
    </row>
    <row r="25" spans="2:4">
      <c r="B25" s="4" t="s">
        <v>40</v>
      </c>
      <c r="C25" s="7">
        <v>18</v>
      </c>
      <c r="D25" s="6" t="s">
        <v>41</v>
      </c>
    </row>
    <row r="26" spans="2:4">
      <c r="B26" s="4" t="s">
        <v>42</v>
      </c>
      <c r="C26" s="8">
        <v>0.63</v>
      </c>
      <c r="D26" s="6" t="s">
        <v>43</v>
      </c>
    </row>
    <row r="27" spans="2:4">
      <c r="B27" s="4" t="s">
        <v>44</v>
      </c>
      <c r="C27" s="9">
        <v>-0.5</v>
      </c>
      <c r="D27" s="6" t="s">
        <v>45</v>
      </c>
    </row>
    <row r="28" spans="2:4">
      <c r="B28" s="4" t="s">
        <v>46</v>
      </c>
      <c r="C28" s="8">
        <v>-0.03</v>
      </c>
      <c r="D28" s="6" t="s">
        <v>47</v>
      </c>
    </row>
    <row r="30" spans="2:4">
      <c r="B30" s="3" t="s">
        <v>48</v>
      </c>
      <c r="C30" s="3"/>
      <c r="D30" s="3"/>
    </row>
    <row r="31" spans="2:4">
      <c r="B31" s="4" t="s">
        <v>49</v>
      </c>
      <c r="C31" s="8">
        <v>0.55</v>
      </c>
      <c r="D31" s="6" t="s">
        <v>50</v>
      </c>
    </row>
    <row r="32" spans="2:4">
      <c r="B32" s="4" t="s">
        <v>51</v>
      </c>
      <c r="C32" s="8">
        <v>0.45</v>
      </c>
      <c r="D32" s="6" t="s">
        <v>52</v>
      </c>
    </row>
    <row r="33" spans="2:5">
      <c r="B33" s="4" t="s">
        <v>53</v>
      </c>
      <c r="C33" s="8">
        <v>0.03</v>
      </c>
      <c r="D33" s="6" t="s">
        <v>54</v>
      </c>
    </row>
    <row r="34" spans="2:5">
      <c r="B34" s="4" t="s">
        <v>55</v>
      </c>
      <c r="C34" s="8">
        <v>0.42</v>
      </c>
      <c r="D34" s="6" t="s">
        <v>56</v>
      </c>
    </row>
    <row r="35" spans="2:5">
      <c r="B35" s="4" t="s">
        <v>57</v>
      </c>
      <c r="C35" s="8">
        <v>0.3</v>
      </c>
      <c r="D35" s="6" t="s">
        <v>58</v>
      </c>
    </row>
    <row r="37" spans="2:5">
      <c r="B37" s="3" t="s">
        <v>59</v>
      </c>
      <c r="C37" s="3"/>
      <c r="D37" s="3"/>
    </row>
    <row r="38" spans="2:5">
      <c r="B38" s="4" t="s">
        <v>60</v>
      </c>
      <c r="C38" s="8">
        <v>0.45</v>
      </c>
      <c r="D38" s="6" t="s">
        <v>61</v>
      </c>
    </row>
    <row r="39" spans="2:5">
      <c r="B39" s="4" t="s">
        <v>62</v>
      </c>
      <c r="C39" s="8">
        <v>-0.03</v>
      </c>
      <c r="D39" s="6" t="s">
        <v>63</v>
      </c>
    </row>
    <row r="40" spans="2:5">
      <c r="B40" s="4" t="s">
        <v>64</v>
      </c>
      <c r="C40" s="7">
        <v>1.8</v>
      </c>
      <c r="D40" s="6" t="s">
        <v>65</v>
      </c>
    </row>
    <row r="42" spans="2:5">
      <c r="B42" s="3" t="s">
        <v>66</v>
      </c>
      <c r="C42" s="3"/>
      <c r="D42" s="3"/>
    </row>
    <row r="43" spans="2:5">
      <c r="B43" s="4" t="s">
        <v>67</v>
      </c>
      <c r="C43" s="7">
        <v>4500000</v>
      </c>
      <c r="D43" s="6" t="s">
        <v>68</v>
      </c>
    </row>
    <row r="44" spans="2:5">
      <c r="B44" s="4" t="s">
        <v>69</v>
      </c>
      <c r="C44" s="8">
        <v>0.6</v>
      </c>
      <c r="D44" s="6" t="s">
        <v>70</v>
      </c>
    </row>
    <row r="45" spans="2:5">
      <c r="B45" s="4" t="s">
        <v>71</v>
      </c>
      <c r="C45" s="8">
        <v>0.15</v>
      </c>
      <c r="D45" s="6" t="s">
        <v>72</v>
      </c>
    </row>
    <row r="47" spans="2:5">
      <c r="B47" s="3" t="s">
        <v>73</v>
      </c>
      <c r="C47" s="3"/>
      <c r="D47" s="3"/>
    </row>
    <row r="48" spans="2:5">
      <c r="B48" s="10" t="s">
        <v>74</v>
      </c>
      <c r="C48" s="10" t="s">
        <v>75</v>
      </c>
      <c r="D48" s="10" t="s">
        <v>76</v>
      </c>
      <c r="E48" s="10" t="s">
        <v>77</v>
      </c>
    </row>
    <row r="49" spans="2:5">
      <c r="B49" s="4" t="s">
        <v>78</v>
      </c>
      <c r="C49" s="7">
        <v>1200000</v>
      </c>
      <c r="D49" s="7">
        <v>2100000</v>
      </c>
      <c r="E49" s="7">
        <v>2700000</v>
      </c>
    </row>
    <row r="50" spans="2:5">
      <c r="B50" s="4" t="s">
        <v>36</v>
      </c>
      <c r="C50" s="7">
        <v>4.99</v>
      </c>
      <c r="D50" s="7">
        <v>5.99</v>
      </c>
      <c r="E50" s="7">
        <v>6.99</v>
      </c>
    </row>
    <row r="51" spans="2:5">
      <c r="B51" s="4" t="s">
        <v>40</v>
      </c>
      <c r="C51" s="7">
        <v>24</v>
      </c>
      <c r="D51" s="7">
        <v>18</v>
      </c>
      <c r="E51" s="7">
        <v>12</v>
      </c>
    </row>
    <row r="52" spans="2:5">
      <c r="B52" s="4" t="s">
        <v>79</v>
      </c>
      <c r="C52" s="7">
        <v>300000</v>
      </c>
      <c r="D52" s="7">
        <v>500000</v>
      </c>
      <c r="E52" s="7">
        <v>750000</v>
      </c>
    </row>
    <row r="53" spans="2:5">
      <c r="B53" s="4" t="s">
        <v>80</v>
      </c>
      <c r="C53" s="8">
        <v>0.55</v>
      </c>
      <c r="D53" s="8">
        <v>0.63</v>
      </c>
      <c r="E53" s="8">
        <v>0.7</v>
      </c>
    </row>
    <row r="54" spans="2:5">
      <c r="B54" s="4" t="s">
        <v>81</v>
      </c>
      <c r="C54" s="8">
        <v>0.12</v>
      </c>
      <c r="D54" s="8">
        <v>0.08</v>
      </c>
      <c r="E54" s="8">
        <v>0.05</v>
      </c>
    </row>
    <row r="55" spans="2:5">
      <c r="B55" s="4" t="s">
        <v>82</v>
      </c>
      <c r="C55" s="8">
        <v>0.35</v>
      </c>
      <c r="D55" s="8">
        <v>0.45</v>
      </c>
      <c r="E55" s="8">
        <v>0.5</v>
      </c>
    </row>
  </sheetData>
  <mergeCells count="9">
    <mergeCell ref="B2:D2"/>
    <mergeCell ref="B3:D3"/>
    <mergeCell ref="B5:D5"/>
    <mergeCell ref="B14:D14"/>
    <mergeCell ref="B22:D22"/>
    <mergeCell ref="B30:D30"/>
    <mergeCell ref="B37:D37"/>
    <mergeCell ref="B42:D42"/>
    <mergeCell ref="B47:D4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B2:F40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7" width="18.7109375" customWidth="1"/>
  </cols>
  <sheetData>
    <row r="2" spans="2:6">
      <c r="B2" s="1" t="s">
        <v>83</v>
      </c>
      <c r="C2" s="1"/>
      <c r="D2" s="1"/>
      <c r="E2" s="1"/>
      <c r="F2" s="1"/>
    </row>
    <row r="4" spans="2:6">
      <c r="B4" s="3" t="s">
        <v>84</v>
      </c>
      <c r="C4" s="3"/>
      <c r="D4" s="3"/>
      <c r="E4" s="3"/>
      <c r="F4" s="3"/>
    </row>
    <row r="5" spans="2:6">
      <c r="B5" s="4" t="s">
        <v>85</v>
      </c>
      <c r="C5" s="11" t="s">
        <v>86</v>
      </c>
      <c r="D5" s="11"/>
      <c r="E5" s="11"/>
      <c r="F5" s="11"/>
    </row>
    <row r="6" spans="2:6">
      <c r="B6" s="4" t="s">
        <v>87</v>
      </c>
      <c r="C6" s="11" t="s">
        <v>88</v>
      </c>
      <c r="D6" s="11"/>
      <c r="E6" s="11"/>
      <c r="F6" s="11"/>
    </row>
    <row r="7" spans="2:6">
      <c r="B7" s="4" t="s">
        <v>89</v>
      </c>
      <c r="C7" s="11" t="s">
        <v>90</v>
      </c>
      <c r="D7" s="11"/>
      <c r="E7" s="11"/>
      <c r="F7" s="11"/>
    </row>
    <row r="8" spans="2:6">
      <c r="B8" s="4" t="s">
        <v>91</v>
      </c>
      <c r="C8" s="11" t="s">
        <v>92</v>
      </c>
      <c r="D8" s="11"/>
      <c r="E8" s="11"/>
      <c r="F8" s="11"/>
    </row>
    <row r="9" spans="2:6">
      <c r="B9" s="4" t="s">
        <v>93</v>
      </c>
      <c r="C9" s="11" t="s">
        <v>94</v>
      </c>
      <c r="D9" s="11"/>
      <c r="E9" s="11"/>
      <c r="F9" s="11"/>
    </row>
    <row r="10" spans="2:6">
      <c r="B10" s="4" t="s">
        <v>32</v>
      </c>
      <c r="C10" s="11" t="s">
        <v>95</v>
      </c>
      <c r="D10" s="11"/>
      <c r="E10" s="11"/>
      <c r="F10" s="11"/>
    </row>
    <row r="12" spans="2:6">
      <c r="B12" s="3" t="s">
        <v>96</v>
      </c>
      <c r="C12" s="3"/>
      <c r="D12" s="3"/>
      <c r="E12" s="3"/>
      <c r="F12" s="3"/>
    </row>
    <row r="13" spans="2:6" ht="30" customHeight="1">
      <c r="B13" s="10" t="s">
        <v>6</v>
      </c>
      <c r="C13" s="10" t="s">
        <v>97</v>
      </c>
      <c r="D13" s="10" t="s">
        <v>98</v>
      </c>
      <c r="E13" s="10" t="s">
        <v>99</v>
      </c>
      <c r="F13" s="10" t="s">
        <v>100</v>
      </c>
    </row>
    <row r="14" spans="2:6">
      <c r="B14" s="4" t="s">
        <v>7</v>
      </c>
      <c r="C14" s="12">
        <v>0.55</v>
      </c>
      <c r="D14" s="11" t="s">
        <v>101</v>
      </c>
      <c r="E14" s="13">
        <v>1.5</v>
      </c>
      <c r="F14" s="11" t="s">
        <v>102</v>
      </c>
    </row>
    <row r="15" spans="2:6">
      <c r="B15" s="4" t="s">
        <v>103</v>
      </c>
      <c r="C15" s="12">
        <v>0.36</v>
      </c>
      <c r="D15" s="11" t="s">
        <v>104</v>
      </c>
      <c r="E15" s="13">
        <v>1.8</v>
      </c>
      <c r="F15" s="11" t="s">
        <v>105</v>
      </c>
    </row>
    <row r="16" spans="2:6">
      <c r="B16" s="4" t="s">
        <v>106</v>
      </c>
      <c r="C16" s="12">
        <v>0.04</v>
      </c>
      <c r="D16" s="11" t="s">
        <v>107</v>
      </c>
      <c r="E16" s="13">
        <v>2.5</v>
      </c>
      <c r="F16" s="11" t="s">
        <v>108</v>
      </c>
    </row>
    <row r="17" spans="2:6">
      <c r="B17" s="4" t="s">
        <v>109</v>
      </c>
      <c r="C17" s="12">
        <v>0.01</v>
      </c>
      <c r="D17" s="11" t="s">
        <v>110</v>
      </c>
      <c r="E17" s="13">
        <v>5</v>
      </c>
      <c r="F17" s="11" t="s">
        <v>108</v>
      </c>
    </row>
    <row r="19" spans="2:6">
      <c r="B19" s="3" t="s">
        <v>111</v>
      </c>
      <c r="C19" s="3"/>
      <c r="D19" s="3"/>
      <c r="E19" s="3"/>
      <c r="F19" s="3"/>
    </row>
    <row r="20" spans="2:6">
      <c r="B20" s="4" t="s">
        <v>112</v>
      </c>
      <c r="C20" s="11" t="s">
        <v>113</v>
      </c>
      <c r="D20" s="11"/>
      <c r="E20" s="11"/>
      <c r="F20" s="11"/>
    </row>
    <row r="21" spans="2:6">
      <c r="B21" s="4" t="s">
        <v>114</v>
      </c>
      <c r="C21" s="11" t="s">
        <v>115</v>
      </c>
      <c r="D21" s="11"/>
      <c r="E21" s="11"/>
      <c r="F21" s="11"/>
    </row>
    <row r="22" spans="2:6">
      <c r="B22" s="4" t="s">
        <v>116</v>
      </c>
      <c r="C22" s="11" t="s">
        <v>117</v>
      </c>
      <c r="D22" s="11"/>
      <c r="E22" s="11"/>
      <c r="F22" s="11"/>
    </row>
    <row r="23" spans="2:6">
      <c r="B23" s="4" t="s">
        <v>118</v>
      </c>
      <c r="C23" s="11" t="s">
        <v>119</v>
      </c>
      <c r="D23" s="11"/>
      <c r="E23" s="11"/>
      <c r="F23" s="11"/>
    </row>
    <row r="24" spans="2:6">
      <c r="B24" s="4" t="s">
        <v>120</v>
      </c>
      <c r="C24" s="11" t="s">
        <v>121</v>
      </c>
      <c r="D24" s="11"/>
      <c r="E24" s="11"/>
      <c r="F24" s="11"/>
    </row>
    <row r="25" spans="2:6">
      <c r="B25" s="4" t="s">
        <v>122</v>
      </c>
      <c r="C25" s="11" t="s">
        <v>123</v>
      </c>
      <c r="D25" s="11"/>
      <c r="E25" s="11"/>
      <c r="F25" s="11"/>
    </row>
    <row r="26" spans="2:6">
      <c r="B26" s="4" t="s">
        <v>124</v>
      </c>
      <c r="C26" s="11" t="s">
        <v>125</v>
      </c>
      <c r="D26" s="11"/>
      <c r="E26" s="11"/>
      <c r="F26" s="11"/>
    </row>
    <row r="27" spans="2:6">
      <c r="B27" s="4" t="s">
        <v>126</v>
      </c>
      <c r="C27" s="11" t="s">
        <v>127</v>
      </c>
      <c r="D27" s="11"/>
      <c r="E27" s="11"/>
      <c r="F27" s="11"/>
    </row>
    <row r="29" spans="2:6">
      <c r="B29" s="3" t="s">
        <v>128</v>
      </c>
      <c r="C29" s="3"/>
      <c r="D29" s="3"/>
      <c r="E29" s="3"/>
      <c r="F29" s="3"/>
    </row>
    <row r="30" spans="2:6">
      <c r="B30" s="4" t="s">
        <v>129</v>
      </c>
      <c r="C30" s="11" t="s">
        <v>130</v>
      </c>
      <c r="D30" s="11"/>
      <c r="E30" s="11"/>
      <c r="F30" s="11"/>
    </row>
    <row r="31" spans="2:6">
      <c r="B31" s="4" t="s">
        <v>131</v>
      </c>
      <c r="C31" s="11" t="s">
        <v>132</v>
      </c>
      <c r="D31" s="11"/>
      <c r="E31" s="11"/>
      <c r="F31" s="11"/>
    </row>
    <row r="32" spans="2:6">
      <c r="B32" s="4" t="s">
        <v>133</v>
      </c>
      <c r="C32" s="11" t="s">
        <v>134</v>
      </c>
      <c r="D32" s="11"/>
      <c r="E32" s="11"/>
      <c r="F32" s="11"/>
    </row>
    <row r="33" spans="2:6">
      <c r="B33" s="4" t="s">
        <v>135</v>
      </c>
      <c r="C33" s="11" t="s">
        <v>136</v>
      </c>
      <c r="D33" s="11"/>
      <c r="E33" s="11"/>
      <c r="F33" s="11"/>
    </row>
    <row r="35" spans="2:6">
      <c r="B35" s="3" t="s">
        <v>137</v>
      </c>
      <c r="C35" s="3"/>
      <c r="D35" s="3"/>
      <c r="E35" s="3"/>
      <c r="F35" s="3"/>
    </row>
    <row r="36" spans="2:6">
      <c r="B36" s="4" t="s">
        <v>138</v>
      </c>
      <c r="C36" s="11" t="s">
        <v>139</v>
      </c>
      <c r="D36" s="11"/>
      <c r="E36" s="11"/>
      <c r="F36" s="11"/>
    </row>
    <row r="37" spans="2:6">
      <c r="B37" s="4" t="s">
        <v>140</v>
      </c>
      <c r="C37" s="11" t="s">
        <v>141</v>
      </c>
      <c r="D37" s="11"/>
      <c r="E37" s="11"/>
      <c r="F37" s="11"/>
    </row>
    <row r="38" spans="2:6">
      <c r="B38" s="4" t="s">
        <v>142</v>
      </c>
      <c r="C38" s="11" t="s">
        <v>143</v>
      </c>
      <c r="D38" s="11"/>
      <c r="E38" s="11"/>
      <c r="F38" s="11"/>
    </row>
    <row r="39" spans="2:6">
      <c r="B39" s="4" t="s">
        <v>144</v>
      </c>
      <c r="C39" s="11" t="s">
        <v>145</v>
      </c>
      <c r="D39" s="11"/>
      <c r="E39" s="11"/>
      <c r="F39" s="11"/>
    </row>
    <row r="40" spans="2:6">
      <c r="B40" s="4" t="s">
        <v>146</v>
      </c>
      <c r="C40" s="11" t="s">
        <v>147</v>
      </c>
      <c r="D40" s="11"/>
      <c r="E40" s="11"/>
      <c r="F40" s="11"/>
    </row>
  </sheetData>
  <mergeCells count="29">
    <mergeCell ref="B2:F2"/>
    <mergeCell ref="B4:F4"/>
    <mergeCell ref="C5:F5"/>
    <mergeCell ref="C6:F6"/>
    <mergeCell ref="C7:F7"/>
    <mergeCell ref="C8:F8"/>
    <mergeCell ref="C9:F9"/>
    <mergeCell ref="C10:F10"/>
    <mergeCell ref="B12:F12"/>
    <mergeCell ref="B19:F19"/>
    <mergeCell ref="C20:F20"/>
    <mergeCell ref="C21:F21"/>
    <mergeCell ref="C22:F22"/>
    <mergeCell ref="C23:F23"/>
    <mergeCell ref="C24:F24"/>
    <mergeCell ref="C25:F25"/>
    <mergeCell ref="C26:F26"/>
    <mergeCell ref="C27:F27"/>
    <mergeCell ref="B29:F29"/>
    <mergeCell ref="C30:F30"/>
    <mergeCell ref="C31:F31"/>
    <mergeCell ref="C32:F32"/>
    <mergeCell ref="C33:F33"/>
    <mergeCell ref="B35:F35"/>
    <mergeCell ref="C36:F36"/>
    <mergeCell ref="C37:F37"/>
    <mergeCell ref="C38:F38"/>
    <mergeCell ref="C39:F39"/>
    <mergeCell ref="C40:F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C3AED"/>
  </sheetPr>
  <dimension ref="B2:I64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14" width="14.7109375" customWidth="1"/>
  </cols>
  <sheetData>
    <row r="2" spans="2:9">
      <c r="B2" s="1" t="s">
        <v>148</v>
      </c>
      <c r="C2" s="1"/>
      <c r="D2" s="1"/>
      <c r="E2" s="1"/>
      <c r="F2" s="1"/>
      <c r="G2" s="1"/>
      <c r="H2" s="1"/>
      <c r="I2" s="1"/>
    </row>
    <row r="4" spans="2:9" ht="35" customHeight="1">
      <c r="B4" s="14" t="s">
        <v>149</v>
      </c>
      <c r="C4" s="14" t="s">
        <v>150</v>
      </c>
      <c r="D4" s="14" t="s">
        <v>151</v>
      </c>
      <c r="E4" s="14" t="s">
        <v>152</v>
      </c>
      <c r="F4" s="14" t="s">
        <v>153</v>
      </c>
      <c r="G4" s="14" t="s">
        <v>154</v>
      </c>
      <c r="H4" s="14" t="s">
        <v>155</v>
      </c>
      <c r="I4" s="14" t="s">
        <v>156</v>
      </c>
    </row>
    <row r="5" spans="2:9">
      <c r="B5">
        <v>1</v>
      </c>
      <c r="C5" s="15">
        <v>89066</v>
      </c>
      <c r="D5" s="12">
        <v>0.5374104656196147</v>
      </c>
      <c r="E5" s="16">
        <v>276719</v>
      </c>
      <c r="F5" s="15">
        <v>76666</v>
      </c>
      <c r="G5" s="12">
        <v>0.4625895343803854</v>
      </c>
      <c r="H5" s="16">
        <v>274837</v>
      </c>
      <c r="I5" s="15">
        <v>165731</v>
      </c>
    </row>
    <row r="6" spans="2:9">
      <c r="B6" s="17">
        <v>2</v>
      </c>
      <c r="C6" s="18">
        <v>139415</v>
      </c>
      <c r="D6" s="19">
        <v>0.5357376192342873</v>
      </c>
      <c r="E6" s="20">
        <v>432051</v>
      </c>
      <c r="F6" s="18">
        <v>120815</v>
      </c>
      <c r="G6" s="19">
        <v>0.4642623807657128</v>
      </c>
      <c r="H6" s="20">
        <v>432011</v>
      </c>
      <c r="I6" s="18">
        <v>260230</v>
      </c>
    </row>
    <row r="7" spans="2:9">
      <c r="B7">
        <v>3</v>
      </c>
      <c r="C7" s="15">
        <v>176821</v>
      </c>
      <c r="D7" s="12">
        <v>0.5340650187412724</v>
      </c>
      <c r="E7" s="16">
        <v>546585</v>
      </c>
      <c r="F7" s="15">
        <v>154264</v>
      </c>
      <c r="G7" s="12">
        <v>0.4659349812587275</v>
      </c>
      <c r="H7" s="16">
        <v>550220</v>
      </c>
      <c r="I7" s="15">
        <v>331086</v>
      </c>
    </row>
    <row r="8" spans="2:9">
      <c r="B8" s="17">
        <v>4</v>
      </c>
      <c r="C8" s="18">
        <v>231928</v>
      </c>
      <c r="D8" s="19">
        <v>0.5323926640863587</v>
      </c>
      <c r="E8" s="20">
        <v>715111</v>
      </c>
      <c r="F8" s="18">
        <v>203705</v>
      </c>
      <c r="G8" s="19">
        <v>0.4676073359136413</v>
      </c>
      <c r="H8" s="20">
        <v>724721</v>
      </c>
      <c r="I8" s="18">
        <v>435633</v>
      </c>
    </row>
    <row r="9" spans="2:9">
      <c r="B9">
        <v>5</v>
      </c>
      <c r="C9" s="15">
        <v>313561</v>
      </c>
      <c r="D9" s="12">
        <v>0.5307205552153501</v>
      </c>
      <c r="E9" s="16">
        <v>964362</v>
      </c>
      <c r="F9" s="15">
        <v>277260</v>
      </c>
      <c r="G9" s="12">
        <v>0.4692794447846498</v>
      </c>
      <c r="H9" s="16">
        <v>983906</v>
      </c>
      <c r="I9" s="15">
        <v>590821</v>
      </c>
    </row>
    <row r="10" spans="2:9">
      <c r="B10" s="17">
        <v>6</v>
      </c>
      <c r="C10" s="18">
        <v>414109</v>
      </c>
      <c r="D10" s="19">
        <v>0.5290486920740669</v>
      </c>
      <c r="E10" s="20">
        <v>1270371</v>
      </c>
      <c r="F10" s="18">
        <v>368634</v>
      </c>
      <c r="G10" s="19">
        <v>0.4709513079259331</v>
      </c>
      <c r="H10" s="20">
        <v>1304845</v>
      </c>
      <c r="I10" s="18">
        <v>782743</v>
      </c>
    </row>
    <row r="11" spans="2:9">
      <c r="B11">
        <v>7</v>
      </c>
      <c r="C11" s="15">
        <v>486946</v>
      </c>
      <c r="D11" s="12">
        <v>0.5273770746083449</v>
      </c>
      <c r="E11" s="16">
        <v>1490027</v>
      </c>
      <c r="F11" s="15">
        <v>436389</v>
      </c>
      <c r="G11" s="12">
        <v>0.472622925391655</v>
      </c>
      <c r="H11" s="16">
        <v>1540762</v>
      </c>
      <c r="I11" s="15">
        <v>923335</v>
      </c>
    </row>
    <row r="12" spans="2:9">
      <c r="B12" s="17">
        <v>8</v>
      </c>
      <c r="C12" s="18">
        <v>556364</v>
      </c>
      <c r="D12" s="19">
        <v>0.5257057027640366</v>
      </c>
      <c r="E12" s="20">
        <v>1698127</v>
      </c>
      <c r="F12" s="18">
        <v>501954</v>
      </c>
      <c r="G12" s="19">
        <v>0.4742942972359634</v>
      </c>
      <c r="H12" s="20">
        <v>1767759</v>
      </c>
      <c r="I12" s="18">
        <v>1058318</v>
      </c>
    </row>
    <row r="13" spans="2:9">
      <c r="B13">
        <v>9</v>
      </c>
      <c r="C13" s="15">
        <v>616990</v>
      </c>
      <c r="D13" s="12">
        <v>0.5240345764870094</v>
      </c>
      <c r="E13" s="16">
        <v>1878397</v>
      </c>
      <c r="F13" s="15">
        <v>560394</v>
      </c>
      <c r="G13" s="12">
        <v>0.4759654235129906</v>
      </c>
      <c r="H13" s="16">
        <v>1968569</v>
      </c>
      <c r="I13" s="15">
        <v>1177385</v>
      </c>
    </row>
    <row r="14" spans="2:9">
      <c r="B14" s="17">
        <v>10</v>
      </c>
      <c r="C14" s="18">
        <v>700626</v>
      </c>
      <c r="D14" s="19">
        <v>0.5223636957231473</v>
      </c>
      <c r="E14" s="20">
        <v>2127613</v>
      </c>
      <c r="F14" s="18">
        <v>640635</v>
      </c>
      <c r="G14" s="19">
        <v>0.4776363042768528</v>
      </c>
      <c r="H14" s="20">
        <v>2244734</v>
      </c>
      <c r="I14" s="18">
        <v>1341260</v>
      </c>
    </row>
    <row r="15" spans="2:9">
      <c r="B15">
        <v>11</v>
      </c>
      <c r="C15" s="15">
        <v>776030</v>
      </c>
      <c r="D15" s="12">
        <v>0.5206930604183501</v>
      </c>
      <c r="E15" s="16">
        <v>2350621</v>
      </c>
      <c r="F15" s="15">
        <v>714349</v>
      </c>
      <c r="G15" s="12">
        <v>0.47930693958165</v>
      </c>
      <c r="H15" s="16">
        <v>2496677</v>
      </c>
      <c r="I15" s="15">
        <v>1490378</v>
      </c>
    </row>
    <row r="16" spans="2:9">
      <c r="B16" s="17">
        <v>12</v>
      </c>
      <c r="C16" s="18">
        <v>884315</v>
      </c>
      <c r="D16" s="19">
        <v>0.519022670518533</v>
      </c>
      <c r="E16" s="20">
        <v>2671829</v>
      </c>
      <c r="F16" s="18">
        <v>819493</v>
      </c>
      <c r="G16" s="19">
        <v>0.4809773294814669</v>
      </c>
      <c r="H16" s="20">
        <v>2856899</v>
      </c>
      <c r="I16" s="18">
        <v>1703807</v>
      </c>
    </row>
    <row r="17" spans="2:9">
      <c r="B17">
        <v>13</v>
      </c>
      <c r="C17" s="15">
        <v>848095</v>
      </c>
      <c r="D17" s="12">
        <v>0.517352525969628</v>
      </c>
      <c r="E17" s="16">
        <v>2555902</v>
      </c>
      <c r="F17" s="15">
        <v>791203</v>
      </c>
      <c r="G17" s="12">
        <v>0.482647474030372</v>
      </c>
      <c r="H17" s="16">
        <v>2751285</v>
      </c>
      <c r="I17" s="15">
        <v>1639299</v>
      </c>
    </row>
    <row r="18" spans="2:9">
      <c r="B18" s="17">
        <v>14</v>
      </c>
      <c r="C18" s="18">
        <v>1033452</v>
      </c>
      <c r="D18" s="19">
        <v>0.5156826267175821</v>
      </c>
      <c r="E18" s="20">
        <v>3106616</v>
      </c>
      <c r="F18" s="18">
        <v>970595</v>
      </c>
      <c r="G18" s="19">
        <v>0.4843173732824178</v>
      </c>
      <c r="H18" s="20">
        <v>3366534</v>
      </c>
      <c r="I18" s="18">
        <v>2004047</v>
      </c>
    </row>
    <row r="19" spans="2:9">
      <c r="B19">
        <v>15</v>
      </c>
      <c r="C19" s="15">
        <v>1019570</v>
      </c>
      <c r="D19" s="12">
        <v>0.5140129727083589</v>
      </c>
      <c r="E19" s="16">
        <v>3057116</v>
      </c>
      <c r="F19" s="15">
        <v>963979</v>
      </c>
      <c r="G19" s="12">
        <v>0.4859870272916412</v>
      </c>
      <c r="H19" s="16">
        <v>3335112</v>
      </c>
      <c r="I19" s="15">
        <v>1983550</v>
      </c>
    </row>
    <row r="20" spans="2:9">
      <c r="B20" s="17">
        <v>16</v>
      </c>
      <c r="C20" s="18">
        <v>1045460</v>
      </c>
      <c r="D20" s="19">
        <v>0.5123435638879371</v>
      </c>
      <c r="E20" s="20">
        <v>3126798</v>
      </c>
      <c r="F20" s="18">
        <v>995085</v>
      </c>
      <c r="G20" s="19">
        <v>0.4876564361120628</v>
      </c>
      <c r="H20" s="20">
        <v>3434000</v>
      </c>
      <c r="I20" s="18">
        <v>2040544</v>
      </c>
    </row>
    <row r="21" spans="2:9">
      <c r="B21">
        <v>17</v>
      </c>
      <c r="C21" s="15">
        <v>1116533</v>
      </c>
      <c r="D21" s="12">
        <v>0.5106744002023119</v>
      </c>
      <c r="E21" s="16">
        <v>3330902</v>
      </c>
      <c r="F21" s="15">
        <v>1069857</v>
      </c>
      <c r="G21" s="12">
        <v>0.489325599797688</v>
      </c>
      <c r="H21" s="16">
        <v>3682676</v>
      </c>
      <c r="I21" s="15">
        <v>2186390</v>
      </c>
    </row>
    <row r="22" spans="2:9">
      <c r="B22" s="17">
        <v>18</v>
      </c>
      <c r="C22" s="18">
        <v>1183463</v>
      </c>
      <c r="D22" s="19">
        <v>0.5090054815974943</v>
      </c>
      <c r="E22" s="20">
        <v>3521619</v>
      </c>
      <c r="F22" s="18">
        <v>1141586</v>
      </c>
      <c r="G22" s="19">
        <v>0.4909945184025059</v>
      </c>
      <c r="H22" s="20">
        <v>3919624</v>
      </c>
      <c r="I22" s="18">
        <v>2325049</v>
      </c>
    </row>
    <row r="23" spans="2:9">
      <c r="B23">
        <v>19</v>
      </c>
      <c r="C23" s="15">
        <v>1140655</v>
      </c>
      <c r="D23" s="12">
        <v>0.5073368080195105</v>
      </c>
      <c r="E23" s="16">
        <v>3385633</v>
      </c>
      <c r="F23" s="15">
        <v>1107664</v>
      </c>
      <c r="G23" s="12">
        <v>0.4926631919804895</v>
      </c>
      <c r="H23" s="16">
        <v>3793512</v>
      </c>
      <c r="I23" s="15">
        <v>2248320</v>
      </c>
    </row>
    <row r="24" spans="2:9">
      <c r="B24" s="17">
        <v>20</v>
      </c>
      <c r="C24" s="18">
        <v>1093877</v>
      </c>
      <c r="D24" s="19">
        <v>0.5056683794144035</v>
      </c>
      <c r="E24" s="20">
        <v>3238558</v>
      </c>
      <c r="F24" s="18">
        <v>1069353</v>
      </c>
      <c r="G24" s="19">
        <v>0.4943316205855967</v>
      </c>
      <c r="H24" s="20">
        <v>3653021</v>
      </c>
      <c r="I24" s="18">
        <v>2163231</v>
      </c>
    </row>
    <row r="25" spans="2:9">
      <c r="B25">
        <v>21</v>
      </c>
      <c r="C25" s="15">
        <v>1044323</v>
      </c>
      <c r="D25" s="12">
        <v>0.5040001957282314</v>
      </c>
      <c r="E25" s="16">
        <v>3084008</v>
      </c>
      <c r="F25" s="15">
        <v>1027746</v>
      </c>
      <c r="G25" s="12">
        <v>0.4959998042717687</v>
      </c>
      <c r="H25" s="16">
        <v>3501985</v>
      </c>
      <c r="I25" s="15">
        <v>2072069</v>
      </c>
    </row>
    <row r="26" spans="2:9">
      <c r="B26" s="17">
        <v>22</v>
      </c>
      <c r="C26" s="18">
        <v>1046537</v>
      </c>
      <c r="D26" s="19">
        <v>0.5023322569070686</v>
      </c>
      <c r="E26" s="20">
        <v>3082711</v>
      </c>
      <c r="F26" s="18">
        <v>1036819</v>
      </c>
      <c r="G26" s="19">
        <v>0.4976677430929314</v>
      </c>
      <c r="H26" s="20">
        <v>3523945</v>
      </c>
      <c r="I26" s="18">
        <v>2083356</v>
      </c>
    </row>
    <row r="27" spans="2:9">
      <c r="B27">
        <v>23</v>
      </c>
      <c r="C27" s="15">
        <v>1047539</v>
      </c>
      <c r="D27" s="12">
        <v>0.5006645628970051</v>
      </c>
      <c r="E27" s="16">
        <v>3077841</v>
      </c>
      <c r="F27" s="15">
        <v>1044758</v>
      </c>
      <c r="G27" s="12">
        <v>0.499335437102995</v>
      </c>
      <c r="H27" s="16">
        <v>3541927</v>
      </c>
      <c r="I27" s="15">
        <v>2092297</v>
      </c>
    </row>
    <row r="28" spans="2:9">
      <c r="B28" s="17">
        <v>24</v>
      </c>
      <c r="C28" s="18">
        <v>1101349</v>
      </c>
      <c r="D28" s="19">
        <v>0.4989971136441465</v>
      </c>
      <c r="E28" s="20">
        <v>3227741</v>
      </c>
      <c r="F28" s="18">
        <v>1105776</v>
      </c>
      <c r="G28" s="19">
        <v>0.5010028863558533</v>
      </c>
      <c r="H28" s="20">
        <v>3739286</v>
      </c>
      <c r="I28" s="18">
        <v>2207125</v>
      </c>
    </row>
    <row r="29" spans="2:9">
      <c r="B29">
        <v>25</v>
      </c>
      <c r="C29" s="15">
        <v>993449</v>
      </c>
      <c r="D29" s="12">
        <v>0.4973299090946151</v>
      </c>
      <c r="E29" s="16">
        <v>2904137</v>
      </c>
      <c r="F29" s="15">
        <v>1004117</v>
      </c>
      <c r="G29" s="12">
        <v>0.5026700909053851</v>
      </c>
      <c r="H29" s="16">
        <v>3386908</v>
      </c>
      <c r="I29" s="15">
        <v>1997566</v>
      </c>
    </row>
    <row r="30" spans="2:9">
      <c r="B30" s="17">
        <v>26</v>
      </c>
      <c r="C30" s="18">
        <v>1153286</v>
      </c>
      <c r="D30" s="19">
        <v>0.4956629491945477</v>
      </c>
      <c r="E30" s="20">
        <v>3362838</v>
      </c>
      <c r="F30" s="18">
        <v>1173468</v>
      </c>
      <c r="G30" s="19">
        <v>0.5043370508054522</v>
      </c>
      <c r="H30" s="20">
        <v>3948101</v>
      </c>
      <c r="I30" s="18">
        <v>2326754</v>
      </c>
    </row>
    <row r="31" spans="2:9">
      <c r="B31">
        <v>27</v>
      </c>
      <c r="C31" s="15">
        <v>1098239</v>
      </c>
      <c r="D31" s="12">
        <v>0.4939962338900981</v>
      </c>
      <c r="E31" s="16">
        <v>3194209</v>
      </c>
      <c r="F31" s="15">
        <v>1124934</v>
      </c>
      <c r="G31" s="12">
        <v>0.5060037661099018</v>
      </c>
      <c r="H31" s="16">
        <v>3775212</v>
      </c>
      <c r="I31" s="15">
        <v>2223172</v>
      </c>
    </row>
    <row r="32" spans="2:9">
      <c r="B32" s="17">
        <v>28</v>
      </c>
      <c r="C32" s="18">
        <v>1096521</v>
      </c>
      <c r="D32" s="19">
        <v>0.4923297631274352</v>
      </c>
      <c r="E32" s="20">
        <v>3181127</v>
      </c>
      <c r="F32" s="18">
        <v>1130687</v>
      </c>
      <c r="G32" s="19">
        <v>0.5076702368725649</v>
      </c>
      <c r="H32" s="20">
        <v>3784902</v>
      </c>
      <c r="I32" s="18">
        <v>2227208</v>
      </c>
    </row>
    <row r="33" spans="2:9">
      <c r="B33">
        <v>29</v>
      </c>
      <c r="C33" s="15">
        <v>1147941</v>
      </c>
      <c r="D33" s="12">
        <v>0.4906635368527438</v>
      </c>
      <c r="E33" s="16">
        <v>3321861</v>
      </c>
      <c r="F33" s="15">
        <v>1191628</v>
      </c>
      <c r="G33" s="12">
        <v>0.509336463147256</v>
      </c>
      <c r="H33" s="16">
        <v>3978784</v>
      </c>
      <c r="I33" s="15">
        <v>2339569</v>
      </c>
    </row>
    <row r="34" spans="2:9">
      <c r="B34" s="17">
        <v>30</v>
      </c>
      <c r="C34" s="18">
        <v>1199009</v>
      </c>
      <c r="D34" s="19">
        <v>0.488997555012225</v>
      </c>
      <c r="E34" s="20">
        <v>3460845</v>
      </c>
      <c r="F34" s="18">
        <v>1252965</v>
      </c>
      <c r="G34" s="19">
        <v>0.511002444987775</v>
      </c>
      <c r="H34" s="20">
        <v>4172980</v>
      </c>
      <c r="I34" s="18">
        <v>2451974</v>
      </c>
    </row>
    <row r="35" spans="2:9">
      <c r="B35">
        <v>31</v>
      </c>
      <c r="C35" s="15">
        <v>1143496</v>
      </c>
      <c r="D35" s="12">
        <v>0.4873318175520948</v>
      </c>
      <c r="E35" s="16">
        <v>3292241</v>
      </c>
      <c r="F35" s="15">
        <v>1202946</v>
      </c>
      <c r="G35" s="12">
        <v>0.5126681824479052</v>
      </c>
      <c r="H35" s="16">
        <v>3996236</v>
      </c>
      <c r="I35" s="15">
        <v>2346442</v>
      </c>
    </row>
    <row r="36" spans="2:9">
      <c r="B36" s="17">
        <v>32</v>
      </c>
      <c r="C36" s="18">
        <v>1088115</v>
      </c>
      <c r="D36" s="19">
        <v>0.4856663244185857</v>
      </c>
      <c r="E36" s="20">
        <v>3124852</v>
      </c>
      <c r="F36" s="18">
        <v>1152343</v>
      </c>
      <c r="G36" s="19">
        <v>0.5143336755814142</v>
      </c>
      <c r="H36" s="20">
        <v>3818426</v>
      </c>
      <c r="I36" s="18">
        <v>2240457</v>
      </c>
    </row>
    <row r="37" spans="2:9">
      <c r="B37">
        <v>33</v>
      </c>
      <c r="C37" s="15">
        <v>1032896</v>
      </c>
      <c r="D37" s="12">
        <v>0.4840010755579457</v>
      </c>
      <c r="E37" s="16">
        <v>2958754</v>
      </c>
      <c r="F37" s="15">
        <v>1101181</v>
      </c>
      <c r="G37" s="12">
        <v>0.5159989244420543</v>
      </c>
      <c r="H37" s="16">
        <v>3639647</v>
      </c>
      <c r="I37" s="15">
        <v>2134077</v>
      </c>
    </row>
    <row r="38" spans="2:9">
      <c r="B38" s="17">
        <v>34</v>
      </c>
      <c r="C38" s="18">
        <v>1030647</v>
      </c>
      <c r="D38" s="19">
        <v>0.4823360709164385</v>
      </c>
      <c r="E38" s="20">
        <v>2944830</v>
      </c>
      <c r="F38" s="18">
        <v>1106135</v>
      </c>
      <c r="G38" s="19">
        <v>0.5176639290835614</v>
      </c>
      <c r="H38" s="20">
        <v>3646752</v>
      </c>
      <c r="I38" s="18">
        <v>2136783</v>
      </c>
    </row>
    <row r="39" spans="2:9">
      <c r="B39">
        <v>35</v>
      </c>
      <c r="C39" s="15">
        <v>1028364</v>
      </c>
      <c r="D39" s="12">
        <v>0.4806713104403438</v>
      </c>
      <c r="E39" s="16">
        <v>2930857</v>
      </c>
      <c r="F39" s="15">
        <v>1111069</v>
      </c>
      <c r="G39" s="12">
        <v>0.5193286895596562</v>
      </c>
      <c r="H39" s="16">
        <v>3653731</v>
      </c>
      <c r="I39" s="15">
        <v>2139433</v>
      </c>
    </row>
    <row r="40" spans="2:9">
      <c r="B40" s="17">
        <v>36</v>
      </c>
      <c r="C40" s="18">
        <v>1078607</v>
      </c>
      <c r="D40" s="19">
        <v>0.4790067940759568</v>
      </c>
      <c r="E40" s="20">
        <v>3066257</v>
      </c>
      <c r="F40" s="18">
        <v>1173150</v>
      </c>
      <c r="G40" s="19">
        <v>0.5209932059240431</v>
      </c>
      <c r="H40" s="20">
        <v>3848104</v>
      </c>
      <c r="I40" s="18">
        <v>2251757</v>
      </c>
    </row>
    <row r="41" spans="2:9">
      <c r="B41">
        <v>37</v>
      </c>
      <c r="C41" s="15">
        <v>971283</v>
      </c>
      <c r="D41" s="12">
        <v>0.4773425217695886</v>
      </c>
      <c r="E41" s="16">
        <v>2754158</v>
      </c>
      <c r="F41" s="15">
        <v>1063489</v>
      </c>
      <c r="G41" s="12">
        <v>0.5226574782304114</v>
      </c>
      <c r="H41" s="16">
        <v>3479556</v>
      </c>
      <c r="I41" s="15">
        <v>2034772</v>
      </c>
    </row>
    <row r="42" spans="2:9">
      <c r="B42" s="17">
        <v>38</v>
      </c>
      <c r="C42" s="18">
        <v>1125999</v>
      </c>
      <c r="D42" s="19">
        <v>0.475678493467566</v>
      </c>
      <c r="E42" s="20">
        <v>3184774</v>
      </c>
      <c r="F42" s="18">
        <v>1241144</v>
      </c>
      <c r="G42" s="19">
        <v>0.5243215065324341</v>
      </c>
      <c r="H42" s="20">
        <v>4050519</v>
      </c>
      <c r="I42" s="18">
        <v>2367143</v>
      </c>
    </row>
    <row r="43" spans="2:9">
      <c r="B43">
        <v>39</v>
      </c>
      <c r="C43" s="15">
        <v>1071194</v>
      </c>
      <c r="D43" s="12">
        <v>0.4740147091162314</v>
      </c>
      <c r="E43" s="16">
        <v>3022084</v>
      </c>
      <c r="F43" s="15">
        <v>1188639</v>
      </c>
      <c r="G43" s="12">
        <v>0.5259852908837687</v>
      </c>
      <c r="H43" s="16">
        <v>3869334</v>
      </c>
      <c r="I43" s="15">
        <v>2259834</v>
      </c>
    </row>
    <row r="44" spans="2:9">
      <c r="B44" s="17">
        <v>40</v>
      </c>
      <c r="C44" s="18">
        <v>1068692</v>
      </c>
      <c r="D44" s="19">
        <v>0.4723511686619432</v>
      </c>
      <c r="E44" s="20">
        <v>3007381</v>
      </c>
      <c r="F44" s="18">
        <v>1193803</v>
      </c>
      <c r="G44" s="19">
        <v>0.5276488313380568</v>
      </c>
      <c r="H44" s="20">
        <v>3876291</v>
      </c>
      <c r="I44" s="18">
        <v>2262494</v>
      </c>
    </row>
    <row r="45" spans="2:9">
      <c r="B45">
        <v>41</v>
      </c>
      <c r="C45" s="15">
        <v>1118131</v>
      </c>
      <c r="D45" s="12">
        <v>0.4706878720510754</v>
      </c>
      <c r="E45" s="16">
        <v>3138530</v>
      </c>
      <c r="F45" s="15">
        <v>1257394</v>
      </c>
      <c r="G45" s="12">
        <v>0.5293121279489247</v>
      </c>
      <c r="H45" s="16">
        <v>4072424</v>
      </c>
      <c r="I45" s="15">
        <v>2375525</v>
      </c>
    </row>
    <row r="46" spans="2:9">
      <c r="B46" s="17">
        <v>42</v>
      </c>
      <c r="C46" s="18">
        <v>1167315</v>
      </c>
      <c r="D46" s="19">
        <v>0.4690248192300176</v>
      </c>
      <c r="E46" s="20">
        <v>3268281</v>
      </c>
      <c r="F46" s="18">
        <v>1321498</v>
      </c>
      <c r="G46" s="19">
        <v>0.5309751807699824</v>
      </c>
      <c r="H46" s="20">
        <v>4269192</v>
      </c>
      <c r="I46" s="18">
        <v>2488813</v>
      </c>
    </row>
    <row r="47" spans="2:9">
      <c r="B47">
        <v>43</v>
      </c>
      <c r="C47" s="15">
        <v>1112823</v>
      </c>
      <c r="D47" s="12">
        <v>0.4673620101451754</v>
      </c>
      <c r="E47" s="16">
        <v>3107814</v>
      </c>
      <c r="F47" s="15">
        <v>1268250</v>
      </c>
      <c r="G47" s="12">
        <v>0.5326379898548247</v>
      </c>
      <c r="H47" s="16">
        <v>4086784</v>
      </c>
      <c r="I47" s="15">
        <v>2381073</v>
      </c>
    </row>
    <row r="48" spans="2:9">
      <c r="B48" s="17">
        <v>44</v>
      </c>
      <c r="C48" s="18">
        <v>1058566</v>
      </c>
      <c r="D48" s="19">
        <v>0.4656994447429698</v>
      </c>
      <c r="E48" s="20">
        <v>2948794</v>
      </c>
      <c r="F48" s="18">
        <v>1214501</v>
      </c>
      <c r="G48" s="19">
        <v>0.5343005552570302</v>
      </c>
      <c r="H48" s="20">
        <v>3903662</v>
      </c>
      <c r="I48" s="18">
        <v>2273067</v>
      </c>
    </row>
    <row r="49" spans="2:9">
      <c r="B49">
        <v>45</v>
      </c>
      <c r="C49" s="15">
        <v>1004545</v>
      </c>
      <c r="D49" s="12">
        <v>0.4640371229698376</v>
      </c>
      <c r="E49" s="16">
        <v>2791216</v>
      </c>
      <c r="F49" s="15">
        <v>1160249</v>
      </c>
      <c r="G49" s="12">
        <v>0.5359628770301624</v>
      </c>
      <c r="H49" s="16">
        <v>3719832</v>
      </c>
      <c r="I49" s="15">
        <v>2164794</v>
      </c>
    </row>
    <row r="50" spans="2:9">
      <c r="B50" s="17">
        <v>46</v>
      </c>
      <c r="C50" s="18">
        <v>1002103</v>
      </c>
      <c r="D50" s="19">
        <v>0.4623750447722315</v>
      </c>
      <c r="E50" s="20">
        <v>2777372</v>
      </c>
      <c r="F50" s="18">
        <v>1165191</v>
      </c>
      <c r="G50" s="19">
        <v>0.5376249552277685</v>
      </c>
      <c r="H50" s="20">
        <v>3726207</v>
      </c>
      <c r="I50" s="18">
        <v>2167294</v>
      </c>
    </row>
    <row r="51" spans="2:9">
      <c r="B51">
        <v>47</v>
      </c>
      <c r="C51" s="15">
        <v>999652</v>
      </c>
      <c r="D51" s="12">
        <v>0.4607132100966195</v>
      </c>
      <c r="E51" s="16">
        <v>2763556</v>
      </c>
      <c r="F51" s="15">
        <v>1170140</v>
      </c>
      <c r="G51" s="12">
        <v>0.5392867899033804</v>
      </c>
      <c r="H51" s="16">
        <v>3732547</v>
      </c>
      <c r="I51" s="15">
        <v>2169792</v>
      </c>
    </row>
    <row r="52" spans="2:9">
      <c r="B52" s="17">
        <v>48</v>
      </c>
      <c r="C52" s="18">
        <v>1048285</v>
      </c>
      <c r="D52" s="19">
        <v>0.4590516188894858</v>
      </c>
      <c r="E52" s="20">
        <v>2890657</v>
      </c>
      <c r="F52" s="18">
        <v>1235304</v>
      </c>
      <c r="G52" s="19">
        <v>0.5409483811105142</v>
      </c>
      <c r="H52" s="20">
        <v>3930419</v>
      </c>
      <c r="I52" s="18">
        <v>2283589</v>
      </c>
    </row>
    <row r="53" spans="2:9">
      <c r="B53">
        <v>49</v>
      </c>
      <c r="C53" s="15">
        <v>943758</v>
      </c>
      <c r="D53" s="12">
        <v>0.4573902710973297</v>
      </c>
      <c r="E53" s="16">
        <v>2595826</v>
      </c>
      <c r="F53" s="15">
        <v>1119596</v>
      </c>
      <c r="G53" s="12">
        <v>0.5426097289026702</v>
      </c>
      <c r="H53" s="16">
        <v>3553236</v>
      </c>
      <c r="I53" s="15">
        <v>2063355</v>
      </c>
    </row>
    <row r="54" spans="2:9">
      <c r="B54" s="17">
        <v>50</v>
      </c>
      <c r="C54" s="18">
        <v>1093935</v>
      </c>
      <c r="D54" s="19">
        <v>0.4557291666666667</v>
      </c>
      <c r="E54" s="20">
        <v>3001262</v>
      </c>
      <c r="F54" s="18">
        <v>1306471</v>
      </c>
      <c r="G54" s="19">
        <v>0.5442708333333333</v>
      </c>
      <c r="H54" s="20">
        <v>4135805</v>
      </c>
      <c r="I54" s="18">
        <v>2400406</v>
      </c>
    </row>
    <row r="55" spans="2:9">
      <c r="B55">
        <v>51</v>
      </c>
      <c r="C55" s="15">
        <v>1040484</v>
      </c>
      <c r="D55" s="12">
        <v>0.4540683055440276</v>
      </c>
      <c r="E55" s="16">
        <v>2847380</v>
      </c>
      <c r="F55" s="15">
        <v>1250986</v>
      </c>
      <c r="G55" s="12">
        <v>0.5459316944559724</v>
      </c>
      <c r="H55" s="16">
        <v>3950122</v>
      </c>
      <c r="I55" s="15">
        <v>2291470</v>
      </c>
    </row>
    <row r="56" spans="2:9">
      <c r="B56" s="17">
        <v>52</v>
      </c>
      <c r="C56" s="18">
        <v>1037867</v>
      </c>
      <c r="D56" s="19">
        <v>0.4524076876759589</v>
      </c>
      <c r="E56" s="20">
        <v>2833018</v>
      </c>
      <c r="F56" s="18">
        <v>1256230</v>
      </c>
      <c r="G56" s="19">
        <v>0.5475923123240409</v>
      </c>
      <c r="H56" s="20">
        <v>3956622</v>
      </c>
      <c r="I56" s="18">
        <v>2294096</v>
      </c>
    </row>
    <row r="57" spans="2:9">
      <c r="B57">
        <v>53</v>
      </c>
      <c r="C57" s="15">
        <v>1085705</v>
      </c>
      <c r="D57" s="12">
        <v>0.4507473130090231</v>
      </c>
      <c r="E57" s="16">
        <v>2956088</v>
      </c>
      <c r="F57" s="15">
        <v>1322973</v>
      </c>
      <c r="G57" s="12">
        <v>0.5492526869909768</v>
      </c>
      <c r="H57" s="16">
        <v>4156275</v>
      </c>
      <c r="I57" s="15">
        <v>2408678</v>
      </c>
    </row>
    <row r="58" spans="2:9">
      <c r="B58" s="17">
        <v>54</v>
      </c>
      <c r="C58" s="18">
        <v>1133282</v>
      </c>
      <c r="D58" s="19">
        <v>0.4490871814897979</v>
      </c>
      <c r="E58" s="20">
        <v>3077803</v>
      </c>
      <c r="F58" s="18">
        <v>1390241</v>
      </c>
      <c r="G58" s="19">
        <v>0.550912818510202</v>
      </c>
      <c r="H58" s="20">
        <v>4356533</v>
      </c>
      <c r="I58" s="18">
        <v>2523523</v>
      </c>
    </row>
    <row r="59" spans="2:9">
      <c r="B59">
        <v>55</v>
      </c>
      <c r="C59" s="15">
        <v>1080175</v>
      </c>
      <c r="D59" s="12">
        <v>0.447427293064877</v>
      </c>
      <c r="E59" s="16">
        <v>2926139</v>
      </c>
      <c r="F59" s="15">
        <v>1334017</v>
      </c>
      <c r="G59" s="12">
        <v>0.5525727069351229</v>
      </c>
      <c r="H59" s="16">
        <v>4169748</v>
      </c>
      <c r="I59" s="15">
        <v>2414192</v>
      </c>
    </row>
    <row r="60" spans="2:9">
      <c r="B60" s="17">
        <v>56</v>
      </c>
      <c r="C60" s="18">
        <v>1027316</v>
      </c>
      <c r="D60" s="19">
        <v>0.4457676476808694</v>
      </c>
      <c r="E60" s="20">
        <v>2775889</v>
      </c>
      <c r="F60" s="18">
        <v>1277283</v>
      </c>
      <c r="G60" s="19">
        <v>0.5542323523191305</v>
      </c>
      <c r="H60" s="20">
        <v>3982294</v>
      </c>
      <c r="I60" s="18">
        <v>2304599</v>
      </c>
    </row>
    <row r="61" spans="2:9">
      <c r="B61">
        <v>57</v>
      </c>
      <c r="C61" s="15">
        <v>974703</v>
      </c>
      <c r="D61" s="12">
        <v>0.4441082452844001</v>
      </c>
      <c r="E61" s="16">
        <v>2627050</v>
      </c>
      <c r="F61" s="15">
        <v>1220039</v>
      </c>
      <c r="G61" s="12">
        <v>0.5558917547155998</v>
      </c>
      <c r="H61" s="16">
        <v>3794178</v>
      </c>
      <c r="I61" s="15">
        <v>2194743</v>
      </c>
    </row>
    <row r="62" spans="2:9">
      <c r="B62" s="17">
        <v>58</v>
      </c>
      <c r="C62" s="18">
        <v>972165</v>
      </c>
      <c r="D62" s="19">
        <v>0.4424490858221095</v>
      </c>
      <c r="E62" s="20">
        <v>2613567</v>
      </c>
      <c r="F62" s="18">
        <v>1225071</v>
      </c>
      <c r="G62" s="19">
        <v>0.5575509141778905</v>
      </c>
      <c r="H62" s="20">
        <v>3800168</v>
      </c>
      <c r="I62" s="18">
        <v>2197237</v>
      </c>
    </row>
    <row r="63" spans="2:9">
      <c r="B63">
        <v>59</v>
      </c>
      <c r="C63" s="15">
        <v>969620</v>
      </c>
      <c r="D63" s="12">
        <v>0.4407901692406536</v>
      </c>
      <c r="E63" s="16">
        <v>2600115</v>
      </c>
      <c r="F63" s="15">
        <v>1230111</v>
      </c>
      <c r="G63" s="12">
        <v>0.5592098307593465</v>
      </c>
      <c r="H63" s="16">
        <v>3806128</v>
      </c>
      <c r="I63" s="15">
        <v>2199731</v>
      </c>
    </row>
    <row r="64" spans="2:9">
      <c r="B64" s="17">
        <v>60</v>
      </c>
      <c r="C64" s="18">
        <v>1016633</v>
      </c>
      <c r="D64" s="19">
        <v>0.4391314954867041</v>
      </c>
      <c r="E64" s="20">
        <v>2719275</v>
      </c>
      <c r="F64" s="18">
        <v>1298466</v>
      </c>
      <c r="G64" s="19">
        <v>0.5608685045132958</v>
      </c>
      <c r="H64" s="20">
        <v>4007444</v>
      </c>
      <c r="I64" s="18">
        <v>2315100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9488"/>
  </sheetPr>
  <dimension ref="B2:P68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17" width="14.7109375" customWidth="1"/>
  </cols>
  <sheetData>
    <row r="2" spans="2:16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2:16">
      <c r="B4" s="21" t="s">
        <v>158</v>
      </c>
      <c r="C4" s="21"/>
      <c r="D4" s="21" t="s">
        <v>159</v>
      </c>
      <c r="E4" s="21"/>
      <c r="F4" s="21" t="s">
        <v>160</v>
      </c>
      <c r="G4" s="21"/>
      <c r="H4" s="21" t="s">
        <v>161</v>
      </c>
      <c r="I4" s="21"/>
      <c r="J4" s="21" t="s">
        <v>162</v>
      </c>
      <c r="K4" s="21"/>
    </row>
    <row r="5" spans="2:16">
      <c r="B5" s="22">
        <v>39525368</v>
      </c>
      <c r="C5" s="22"/>
      <c r="D5" s="22">
        <v>530149339</v>
      </c>
      <c r="E5" s="22"/>
      <c r="F5" s="22">
        <v>447031419</v>
      </c>
      <c r="G5" s="22"/>
      <c r="H5" s="23">
        <v>0.5010028863558533</v>
      </c>
      <c r="I5" s="23"/>
      <c r="J5" s="24" t="s">
        <v>163</v>
      </c>
      <c r="K5" s="24"/>
    </row>
    <row r="8" spans="2:16" ht="35" customHeight="1">
      <c r="B8" s="25" t="s">
        <v>149</v>
      </c>
      <c r="C8" s="25" t="s">
        <v>164</v>
      </c>
      <c r="D8" s="25" t="s">
        <v>165</v>
      </c>
      <c r="E8" s="25" t="s">
        <v>166</v>
      </c>
      <c r="F8" s="25" t="s">
        <v>167</v>
      </c>
      <c r="G8" s="25" t="s">
        <v>168</v>
      </c>
      <c r="H8" s="25" t="s">
        <v>169</v>
      </c>
      <c r="I8" s="25" t="s">
        <v>170</v>
      </c>
      <c r="J8" s="25" t="s">
        <v>171</v>
      </c>
      <c r="K8" s="25" t="s">
        <v>172</v>
      </c>
      <c r="L8" s="25" t="s">
        <v>173</v>
      </c>
      <c r="M8" s="25" t="s">
        <v>174</v>
      </c>
      <c r="N8" s="25" t="s">
        <v>175</v>
      </c>
      <c r="O8" s="25" t="s">
        <v>176</v>
      </c>
      <c r="P8" s="25" t="s">
        <v>177</v>
      </c>
    </row>
    <row r="9" spans="2:16">
      <c r="B9">
        <v>1</v>
      </c>
      <c r="C9" s="15">
        <v>867839</v>
      </c>
      <c r="D9" s="16">
        <v>2142695</v>
      </c>
      <c r="E9" s="15">
        <v>165731</v>
      </c>
      <c r="F9" s="13">
        <v>5.97</v>
      </c>
      <c r="G9" s="16">
        <v>1185616</v>
      </c>
      <c r="H9" s="16">
        <v>660396</v>
      </c>
      <c r="I9" s="15">
        <v>40880</v>
      </c>
      <c r="J9" s="15">
        <v>124851</v>
      </c>
      <c r="K9" s="12">
        <v>0.2466666666666667</v>
      </c>
      <c r="L9" s="26">
        <v>0.9</v>
      </c>
      <c r="M9" s="16">
        <v>2803092</v>
      </c>
      <c r="N9" s="16">
        <v>1966721</v>
      </c>
      <c r="O9" s="16">
        <v>2803092</v>
      </c>
      <c r="P9" s="16">
        <v>1966721</v>
      </c>
    </row>
    <row r="10" spans="2:16">
      <c r="B10" s="17">
        <v>2</v>
      </c>
      <c r="C10" s="18">
        <v>867679</v>
      </c>
      <c r="D10" s="20">
        <v>2142300</v>
      </c>
      <c r="E10" s="18">
        <v>260230</v>
      </c>
      <c r="F10" s="20">
        <v>5.96</v>
      </c>
      <c r="G10" s="20">
        <v>1852792</v>
      </c>
      <c r="H10" s="20">
        <v>1032266</v>
      </c>
      <c r="I10" s="18">
        <v>63323</v>
      </c>
      <c r="J10" s="18">
        <v>196907</v>
      </c>
      <c r="K10" s="19">
        <v>0.2433333333333333</v>
      </c>
      <c r="L10" s="17">
        <v>1.05</v>
      </c>
      <c r="M10" s="20">
        <v>3174566</v>
      </c>
      <c r="N10" s="20">
        <v>2293618</v>
      </c>
      <c r="O10" s="20">
        <v>5977658</v>
      </c>
      <c r="P10" s="20">
        <v>4260339</v>
      </c>
    </row>
    <row r="11" spans="2:16">
      <c r="B11">
        <v>3</v>
      </c>
      <c r="C11" s="15">
        <v>867519</v>
      </c>
      <c r="D11" s="16">
        <v>2141905</v>
      </c>
      <c r="E11" s="15">
        <v>331086</v>
      </c>
      <c r="F11" s="13">
        <v>5.94</v>
      </c>
      <c r="G11" s="16">
        <v>2346045</v>
      </c>
      <c r="H11" s="16">
        <v>1307392</v>
      </c>
      <c r="I11" s="15">
        <v>79461</v>
      </c>
      <c r="J11" s="15">
        <v>251625</v>
      </c>
      <c r="K11" s="12">
        <v>0.24</v>
      </c>
      <c r="L11" s="26">
        <v>1</v>
      </c>
      <c r="M11" s="16">
        <v>3449297</v>
      </c>
      <c r="N11" s="16">
        <v>2535381</v>
      </c>
      <c r="O11" s="16">
        <v>9426954</v>
      </c>
      <c r="P11" s="16">
        <v>6795720</v>
      </c>
    </row>
    <row r="12" spans="2:16">
      <c r="B12" s="17">
        <v>4</v>
      </c>
      <c r="C12" s="18">
        <v>867360</v>
      </c>
      <c r="D12" s="20">
        <v>2141511</v>
      </c>
      <c r="E12" s="18">
        <v>435633</v>
      </c>
      <c r="F12" s="20">
        <v>5.93</v>
      </c>
      <c r="G12" s="20">
        <v>3072145</v>
      </c>
      <c r="H12" s="20">
        <v>1712440</v>
      </c>
      <c r="I12" s="18">
        <v>103100</v>
      </c>
      <c r="J12" s="18">
        <v>332533</v>
      </c>
      <c r="K12" s="19">
        <v>0.2366666666666667</v>
      </c>
      <c r="L12" s="17">
        <v>1</v>
      </c>
      <c r="M12" s="20">
        <v>3853951</v>
      </c>
      <c r="N12" s="20">
        <v>2891477</v>
      </c>
      <c r="O12" s="20">
        <v>13280906</v>
      </c>
      <c r="P12" s="20">
        <v>9687197</v>
      </c>
    </row>
    <row r="13" spans="2:16">
      <c r="B13">
        <v>5</v>
      </c>
      <c r="C13" s="15">
        <v>867200</v>
      </c>
      <c r="D13" s="16">
        <v>2141118</v>
      </c>
      <c r="E13" s="15">
        <v>590821</v>
      </c>
      <c r="F13" s="13">
        <v>5.91</v>
      </c>
      <c r="G13" s="16">
        <v>4146672</v>
      </c>
      <c r="H13" s="16">
        <v>2311945</v>
      </c>
      <c r="I13" s="15">
        <v>137858</v>
      </c>
      <c r="J13" s="15">
        <v>452963</v>
      </c>
      <c r="K13" s="12">
        <v>0.2333333333333333</v>
      </c>
      <c r="L13" s="26">
        <v>1.05</v>
      </c>
      <c r="M13" s="16">
        <v>4453063</v>
      </c>
      <c r="N13" s="16">
        <v>3418695</v>
      </c>
      <c r="O13" s="16">
        <v>17733969</v>
      </c>
      <c r="P13" s="16">
        <v>13105892</v>
      </c>
    </row>
    <row r="14" spans="2:16">
      <c r="B14" s="17">
        <v>6</v>
      </c>
      <c r="C14" s="18">
        <v>867042</v>
      </c>
      <c r="D14" s="20">
        <v>2140726</v>
      </c>
      <c r="E14" s="18">
        <v>782743</v>
      </c>
      <c r="F14" s="20">
        <v>5.9</v>
      </c>
      <c r="G14" s="20">
        <v>5467432</v>
      </c>
      <c r="H14" s="20">
        <v>3049056</v>
      </c>
      <c r="I14" s="18">
        <v>180031</v>
      </c>
      <c r="J14" s="18">
        <v>602712</v>
      </c>
      <c r="K14" s="19">
        <v>0.23</v>
      </c>
      <c r="L14" s="17">
        <v>1.1</v>
      </c>
      <c r="M14" s="20">
        <v>5189782</v>
      </c>
      <c r="N14" s="20">
        <v>4067008</v>
      </c>
      <c r="O14" s="20">
        <v>22923751</v>
      </c>
      <c r="P14" s="20">
        <v>17172901</v>
      </c>
    </row>
    <row r="15" spans="2:16">
      <c r="B15">
        <v>7</v>
      </c>
      <c r="C15" s="15">
        <v>866883</v>
      </c>
      <c r="D15" s="16">
        <v>2140335</v>
      </c>
      <c r="E15" s="15">
        <v>923335</v>
      </c>
      <c r="F15" s="13">
        <v>5.88</v>
      </c>
      <c r="G15" s="16">
        <v>6418626</v>
      </c>
      <c r="H15" s="16">
        <v>3580372</v>
      </c>
      <c r="I15" s="15">
        <v>209289</v>
      </c>
      <c r="J15" s="15">
        <v>714046</v>
      </c>
      <c r="K15" s="12">
        <v>0.2266666666666667</v>
      </c>
      <c r="L15" s="26">
        <v>1.05</v>
      </c>
      <c r="M15" s="16">
        <v>5720707</v>
      </c>
      <c r="N15" s="16">
        <v>4534222</v>
      </c>
      <c r="O15" s="16">
        <v>28644458</v>
      </c>
      <c r="P15" s="16">
        <v>21707123</v>
      </c>
    </row>
    <row r="16" spans="2:16">
      <c r="B16" s="17">
        <v>8</v>
      </c>
      <c r="C16" s="18">
        <v>866725</v>
      </c>
      <c r="D16" s="20">
        <v>2139944</v>
      </c>
      <c r="E16" s="18">
        <v>1058318</v>
      </c>
      <c r="F16" s="20">
        <v>5.87</v>
      </c>
      <c r="G16" s="20">
        <v>7321753</v>
      </c>
      <c r="H16" s="20">
        <v>4085125</v>
      </c>
      <c r="I16" s="18">
        <v>236358</v>
      </c>
      <c r="J16" s="18">
        <v>821960</v>
      </c>
      <c r="K16" s="19">
        <v>0.2233333333333333</v>
      </c>
      <c r="L16" s="17">
        <v>1</v>
      </c>
      <c r="M16" s="20">
        <v>6225069</v>
      </c>
      <c r="N16" s="20">
        <v>4978061</v>
      </c>
      <c r="O16" s="20">
        <v>34869527</v>
      </c>
      <c r="P16" s="20">
        <v>26685184</v>
      </c>
    </row>
    <row r="17" spans="2:16">
      <c r="B17">
        <v>9</v>
      </c>
      <c r="C17" s="15">
        <v>866567</v>
      </c>
      <c r="D17" s="16">
        <v>2139555</v>
      </c>
      <c r="E17" s="15">
        <v>1177385</v>
      </c>
      <c r="F17" s="13">
        <v>5.85</v>
      </c>
      <c r="G17" s="16">
        <v>8106462</v>
      </c>
      <c r="H17" s="16">
        <v>4524032</v>
      </c>
      <c r="I17" s="15">
        <v>259025</v>
      </c>
      <c r="J17" s="15">
        <v>918360</v>
      </c>
      <c r="K17" s="12">
        <v>0.22</v>
      </c>
      <c r="L17" s="26">
        <v>0.95</v>
      </c>
      <c r="M17" s="16">
        <v>6663587</v>
      </c>
      <c r="N17" s="16">
        <v>5363957</v>
      </c>
      <c r="O17" s="16">
        <v>41533114</v>
      </c>
      <c r="P17" s="16">
        <v>32049140</v>
      </c>
    </row>
    <row r="18" spans="2:16">
      <c r="B18" s="17">
        <v>10</v>
      </c>
      <c r="C18" s="18">
        <v>866410</v>
      </c>
      <c r="D18" s="20">
        <v>2139167</v>
      </c>
      <c r="E18" s="18">
        <v>1341260</v>
      </c>
      <c r="F18" s="20">
        <v>5.84</v>
      </c>
      <c r="G18" s="20">
        <v>9190470</v>
      </c>
      <c r="H18" s="20">
        <v>5130220</v>
      </c>
      <c r="I18" s="18">
        <v>290606</v>
      </c>
      <c r="J18" s="18">
        <v>1050654</v>
      </c>
      <c r="K18" s="19">
        <v>0.2166666666666667</v>
      </c>
      <c r="L18" s="17">
        <v>0.95</v>
      </c>
      <c r="M18" s="20">
        <v>7269387</v>
      </c>
      <c r="N18" s="20">
        <v>5897061</v>
      </c>
      <c r="O18" s="20">
        <v>48802501</v>
      </c>
      <c r="P18" s="20">
        <v>37946201</v>
      </c>
    </row>
    <row r="19" spans="2:16">
      <c r="B19">
        <v>11</v>
      </c>
      <c r="C19" s="15">
        <v>866253</v>
      </c>
      <c r="D19" s="16">
        <v>2138779</v>
      </c>
      <c r="E19" s="15">
        <v>1490378</v>
      </c>
      <c r="F19" s="13">
        <v>5.83</v>
      </c>
      <c r="G19" s="16">
        <v>10163204</v>
      </c>
      <c r="H19" s="16">
        <v>5674570</v>
      </c>
      <c r="I19" s="15">
        <v>317947</v>
      </c>
      <c r="J19" s="15">
        <v>1172431</v>
      </c>
      <c r="K19" s="12">
        <v>0.2133333333333333</v>
      </c>
      <c r="L19" s="26">
        <v>0.95</v>
      </c>
      <c r="M19" s="16">
        <v>7813349</v>
      </c>
      <c r="N19" s="16">
        <v>6375747</v>
      </c>
      <c r="O19" s="16">
        <v>56615850</v>
      </c>
      <c r="P19" s="16">
        <v>44321948</v>
      </c>
    </row>
    <row r="20" spans="2:16">
      <c r="B20" s="17">
        <v>12</v>
      </c>
      <c r="C20" s="18">
        <v>866097</v>
      </c>
      <c r="D20" s="20">
        <v>2138392</v>
      </c>
      <c r="E20" s="18">
        <v>1703807</v>
      </c>
      <c r="F20" s="20">
        <v>5.81</v>
      </c>
      <c r="G20" s="20">
        <v>11562769</v>
      </c>
      <c r="H20" s="20">
        <v>6457554</v>
      </c>
      <c r="I20" s="18">
        <v>357799</v>
      </c>
      <c r="J20" s="18">
        <v>1346008</v>
      </c>
      <c r="K20" s="19">
        <v>0.21</v>
      </c>
      <c r="L20" s="17">
        <v>1</v>
      </c>
      <c r="M20" s="20">
        <v>8595947</v>
      </c>
      <c r="N20" s="20">
        <v>7064433</v>
      </c>
      <c r="O20" s="20">
        <v>65211797</v>
      </c>
      <c r="P20" s="20">
        <v>51386381</v>
      </c>
    </row>
    <row r="21" spans="2:16">
      <c r="B21">
        <v>13</v>
      </c>
      <c r="C21" s="15">
        <v>865940</v>
      </c>
      <c r="D21" s="16">
        <v>2138007</v>
      </c>
      <c r="E21" s="15">
        <v>1639299</v>
      </c>
      <c r="F21" s="13">
        <v>5.8</v>
      </c>
      <c r="G21" s="16">
        <v>11071451</v>
      </c>
      <c r="H21" s="16">
        <v>6184643</v>
      </c>
      <c r="I21" s="15">
        <v>338788</v>
      </c>
      <c r="J21" s="15">
        <v>1300511</v>
      </c>
      <c r="K21" s="12">
        <v>0.2066666666666667</v>
      </c>
      <c r="L21" s="26">
        <v>0.9</v>
      </c>
      <c r="M21" s="16">
        <v>8322650</v>
      </c>
      <c r="N21" s="16">
        <v>6823932</v>
      </c>
      <c r="O21" s="16">
        <v>73534446</v>
      </c>
      <c r="P21" s="16">
        <v>58210313</v>
      </c>
    </row>
    <row r="22" spans="2:16">
      <c r="B22" s="17">
        <v>14</v>
      </c>
      <c r="C22" s="18">
        <v>865784</v>
      </c>
      <c r="D22" s="20">
        <v>2137622</v>
      </c>
      <c r="E22" s="18">
        <v>2004047</v>
      </c>
      <c r="F22" s="20">
        <v>5.78</v>
      </c>
      <c r="G22" s="20">
        <v>13469669</v>
      </c>
      <c r="H22" s="20">
        <v>7526115</v>
      </c>
      <c r="I22" s="18">
        <v>407490</v>
      </c>
      <c r="J22" s="18">
        <v>1596557</v>
      </c>
      <c r="K22" s="19">
        <v>0.2033333333333333</v>
      </c>
      <c r="L22" s="17">
        <v>1.05</v>
      </c>
      <c r="M22" s="20">
        <v>9663737</v>
      </c>
      <c r="N22" s="20">
        <v>8004089</v>
      </c>
      <c r="O22" s="20">
        <v>83198183</v>
      </c>
      <c r="P22" s="20">
        <v>66214401</v>
      </c>
    </row>
    <row r="23" spans="2:16">
      <c r="B23">
        <v>15</v>
      </c>
      <c r="C23" s="15">
        <v>865629</v>
      </c>
      <c r="D23" s="16">
        <v>2137238</v>
      </c>
      <c r="E23" s="15">
        <v>1983550</v>
      </c>
      <c r="F23" s="13">
        <v>5.77</v>
      </c>
      <c r="G23" s="16">
        <v>13267605</v>
      </c>
      <c r="H23" s="16">
        <v>7414985</v>
      </c>
      <c r="I23" s="15">
        <v>396710</v>
      </c>
      <c r="J23" s="15">
        <v>1586840</v>
      </c>
      <c r="K23" s="12">
        <v>0.2</v>
      </c>
      <c r="L23" s="26">
        <v>1</v>
      </c>
      <c r="M23" s="16">
        <v>9552223</v>
      </c>
      <c r="N23" s="16">
        <v>7905956</v>
      </c>
      <c r="O23" s="16">
        <v>92750407</v>
      </c>
      <c r="P23" s="16">
        <v>74120358</v>
      </c>
    </row>
    <row r="24" spans="2:16">
      <c r="B24" s="17">
        <v>16</v>
      </c>
      <c r="C24" s="18">
        <v>865474</v>
      </c>
      <c r="D24" s="20">
        <v>2136855</v>
      </c>
      <c r="E24" s="18">
        <v>2040544</v>
      </c>
      <c r="F24" s="20">
        <v>5.75</v>
      </c>
      <c r="G24" s="20">
        <v>13582934</v>
      </c>
      <c r="H24" s="20">
        <v>7593030</v>
      </c>
      <c r="I24" s="18">
        <v>401307</v>
      </c>
      <c r="J24" s="18">
        <v>1639237</v>
      </c>
      <c r="K24" s="19">
        <v>0.1966666666666667</v>
      </c>
      <c r="L24" s="17">
        <v>1</v>
      </c>
      <c r="M24" s="20">
        <v>9729885</v>
      </c>
      <c r="N24" s="20">
        <v>8062299</v>
      </c>
      <c r="O24" s="20">
        <v>102480292</v>
      </c>
      <c r="P24" s="20">
        <v>82182657</v>
      </c>
    </row>
    <row r="25" spans="2:16">
      <c r="B25">
        <v>17</v>
      </c>
      <c r="C25" s="15">
        <v>865319</v>
      </c>
      <c r="D25" s="16">
        <v>2136472</v>
      </c>
      <c r="E25" s="15">
        <v>2186390</v>
      </c>
      <c r="F25" s="13">
        <v>5.74</v>
      </c>
      <c r="G25" s="16">
        <v>14483416</v>
      </c>
      <c r="H25" s="16">
        <v>8098345</v>
      </c>
      <c r="I25" s="15">
        <v>422702</v>
      </c>
      <c r="J25" s="15">
        <v>1763688</v>
      </c>
      <c r="K25" s="12">
        <v>0.1933333333333333</v>
      </c>
      <c r="L25" s="26">
        <v>1.05</v>
      </c>
      <c r="M25" s="16">
        <v>10234817</v>
      </c>
      <c r="N25" s="16">
        <v>8506639</v>
      </c>
      <c r="O25" s="16">
        <v>112715109</v>
      </c>
      <c r="P25" s="16">
        <v>90689296</v>
      </c>
    </row>
    <row r="26" spans="2:16">
      <c r="B26" s="17">
        <v>18</v>
      </c>
      <c r="C26" s="18">
        <v>865165</v>
      </c>
      <c r="D26" s="20">
        <v>2136091</v>
      </c>
      <c r="E26" s="18">
        <v>2325049</v>
      </c>
      <c r="F26" s="20">
        <v>5.72</v>
      </c>
      <c r="G26" s="20">
        <v>15327419</v>
      </c>
      <c r="H26" s="20">
        <v>8572312</v>
      </c>
      <c r="I26" s="18">
        <v>441759</v>
      </c>
      <c r="J26" s="18">
        <v>1883290</v>
      </c>
      <c r="K26" s="19">
        <v>0.19</v>
      </c>
      <c r="L26" s="17">
        <v>1.1</v>
      </c>
      <c r="M26" s="20">
        <v>10708403</v>
      </c>
      <c r="N26" s="20">
        <v>8923395</v>
      </c>
      <c r="O26" s="20">
        <v>123423512</v>
      </c>
      <c r="P26" s="20">
        <v>99612691</v>
      </c>
    </row>
    <row r="27" spans="2:16">
      <c r="B27">
        <v>19</v>
      </c>
      <c r="C27" s="15">
        <v>865010</v>
      </c>
      <c r="D27" s="16">
        <v>2135711</v>
      </c>
      <c r="E27" s="15">
        <v>2248320</v>
      </c>
      <c r="F27" s="13">
        <v>5.71</v>
      </c>
      <c r="G27" s="16">
        <v>14749800</v>
      </c>
      <c r="H27" s="16">
        <v>8251231</v>
      </c>
      <c r="I27" s="15">
        <v>419686</v>
      </c>
      <c r="J27" s="15">
        <v>1828634</v>
      </c>
      <c r="K27" s="12">
        <v>0.1866666666666667</v>
      </c>
      <c r="L27" s="26">
        <v>1.05</v>
      </c>
      <c r="M27" s="16">
        <v>10386941</v>
      </c>
      <c r="N27" s="16">
        <v>8890509</v>
      </c>
      <c r="O27" s="16">
        <v>133810454</v>
      </c>
      <c r="P27" s="16">
        <v>108503199</v>
      </c>
    </row>
    <row r="28" spans="2:16">
      <c r="B28" s="17">
        <v>20</v>
      </c>
      <c r="C28" s="18">
        <v>864857</v>
      </c>
      <c r="D28" s="20">
        <v>2135331</v>
      </c>
      <c r="E28" s="18">
        <v>2163231</v>
      </c>
      <c r="F28" s="20">
        <v>5.69</v>
      </c>
      <c r="G28" s="20">
        <v>14122766</v>
      </c>
      <c r="H28" s="20">
        <v>7902344</v>
      </c>
      <c r="I28" s="18">
        <v>396592</v>
      </c>
      <c r="J28" s="18">
        <v>1766639</v>
      </c>
      <c r="K28" s="19">
        <v>0.1833333333333333</v>
      </c>
      <c r="L28" s="17">
        <v>1</v>
      </c>
      <c r="M28" s="20">
        <v>10037676</v>
      </c>
      <c r="N28" s="20">
        <v>8583155</v>
      </c>
      <c r="O28" s="20">
        <v>143848129</v>
      </c>
      <c r="P28" s="20">
        <v>117086354</v>
      </c>
    </row>
    <row r="29" spans="2:16">
      <c r="B29">
        <v>21</v>
      </c>
      <c r="C29" s="15">
        <v>864703</v>
      </c>
      <c r="D29" s="16">
        <v>2134952</v>
      </c>
      <c r="E29" s="15">
        <v>2072069</v>
      </c>
      <c r="F29" s="13">
        <v>5.68</v>
      </c>
      <c r="G29" s="16">
        <v>13461936</v>
      </c>
      <c r="H29" s="16">
        <v>7534376</v>
      </c>
      <c r="I29" s="15">
        <v>372972</v>
      </c>
      <c r="J29" s="15">
        <v>1699097</v>
      </c>
      <c r="K29" s="12">
        <v>0.18</v>
      </c>
      <c r="L29" s="26">
        <v>0.95</v>
      </c>
      <c r="M29" s="16">
        <v>9669329</v>
      </c>
      <c r="N29" s="16">
        <v>8259009</v>
      </c>
      <c r="O29" s="16">
        <v>153517458</v>
      </c>
      <c r="P29" s="16">
        <v>125345363</v>
      </c>
    </row>
    <row r="30" spans="2:16">
      <c r="B30" s="17">
        <v>22</v>
      </c>
      <c r="C30" s="18">
        <v>864550</v>
      </c>
      <c r="D30" s="20">
        <v>2134575</v>
      </c>
      <c r="E30" s="18">
        <v>2083356</v>
      </c>
      <c r="F30" s="20">
        <v>5.66</v>
      </c>
      <c r="G30" s="20">
        <v>13469483</v>
      </c>
      <c r="H30" s="20">
        <v>7540397</v>
      </c>
      <c r="I30" s="18">
        <v>368060</v>
      </c>
      <c r="J30" s="18">
        <v>1715296</v>
      </c>
      <c r="K30" s="19">
        <v>0.1766666666666667</v>
      </c>
      <c r="L30" s="17">
        <v>0.95</v>
      </c>
      <c r="M30" s="20">
        <v>9674972</v>
      </c>
      <c r="N30" s="20">
        <v>8263975</v>
      </c>
      <c r="O30" s="20">
        <v>163192430</v>
      </c>
      <c r="P30" s="20">
        <v>133609338</v>
      </c>
    </row>
    <row r="31" spans="2:16">
      <c r="B31">
        <v>23</v>
      </c>
      <c r="C31" s="15">
        <v>864398</v>
      </c>
      <c r="D31" s="16">
        <v>2134198</v>
      </c>
      <c r="E31" s="15">
        <v>2092297</v>
      </c>
      <c r="F31" s="13">
        <v>5.65</v>
      </c>
      <c r="G31" s="16">
        <v>13461472</v>
      </c>
      <c r="H31" s="16">
        <v>7537709</v>
      </c>
      <c r="I31" s="15">
        <v>362665</v>
      </c>
      <c r="J31" s="15">
        <v>1729632</v>
      </c>
      <c r="K31" s="12">
        <v>0.1733333333333333</v>
      </c>
      <c r="L31" s="26">
        <v>0.95</v>
      </c>
      <c r="M31" s="16">
        <v>9671906</v>
      </c>
      <c r="N31" s="16">
        <v>8261278</v>
      </c>
      <c r="O31" s="16">
        <v>172864336</v>
      </c>
      <c r="P31" s="16">
        <v>141870616</v>
      </c>
    </row>
    <row r="32" spans="2:16">
      <c r="B32" s="17">
        <v>24</v>
      </c>
      <c r="C32" s="18">
        <v>864245</v>
      </c>
      <c r="D32" s="20">
        <v>2133822</v>
      </c>
      <c r="E32" s="18">
        <v>2207125</v>
      </c>
      <c r="F32" s="20">
        <v>5.64</v>
      </c>
      <c r="G32" s="20">
        <v>14131087</v>
      </c>
      <c r="H32" s="20">
        <v>7914542</v>
      </c>
      <c r="I32" s="18">
        <v>375211</v>
      </c>
      <c r="J32" s="18">
        <v>1831914</v>
      </c>
      <c r="K32" s="19">
        <v>0.17</v>
      </c>
      <c r="L32" s="17">
        <v>1</v>
      </c>
      <c r="M32" s="20">
        <v>10048364</v>
      </c>
      <c r="N32" s="20">
        <v>8592560</v>
      </c>
      <c r="O32" s="20">
        <v>182912700</v>
      </c>
      <c r="P32" s="20">
        <v>150463176</v>
      </c>
    </row>
    <row r="33" spans="2:16">
      <c r="B33">
        <v>25</v>
      </c>
      <c r="C33" s="15">
        <v>864093</v>
      </c>
      <c r="D33" s="16">
        <v>2133446</v>
      </c>
      <c r="E33" s="15">
        <v>1997566</v>
      </c>
      <c r="F33" s="13">
        <v>5.62</v>
      </c>
      <c r="G33" s="16">
        <v>12727022</v>
      </c>
      <c r="H33" s="16">
        <v>7129851</v>
      </c>
      <c r="I33" s="15">
        <v>332928</v>
      </c>
      <c r="J33" s="15">
        <v>1664638</v>
      </c>
      <c r="K33" s="12">
        <v>0.1666666666666667</v>
      </c>
      <c r="L33" s="26">
        <v>0.9</v>
      </c>
      <c r="M33" s="16">
        <v>9263297</v>
      </c>
      <c r="N33" s="16">
        <v>7901701</v>
      </c>
      <c r="O33" s="16">
        <v>192175997</v>
      </c>
      <c r="P33" s="16">
        <v>158364878</v>
      </c>
    </row>
    <row r="34" spans="2:16">
      <c r="B34" s="17">
        <v>26</v>
      </c>
      <c r="C34" s="18">
        <v>863942</v>
      </c>
      <c r="D34" s="20">
        <v>2133072</v>
      </c>
      <c r="E34" s="18">
        <v>2326754</v>
      </c>
      <c r="F34" s="20">
        <v>5.61</v>
      </c>
      <c r="G34" s="20">
        <v>14751994</v>
      </c>
      <c r="H34" s="20">
        <v>8266235</v>
      </c>
      <c r="I34" s="18">
        <v>380036</v>
      </c>
      <c r="J34" s="18">
        <v>1946718</v>
      </c>
      <c r="K34" s="19">
        <v>0.1633333333333333</v>
      </c>
      <c r="L34" s="17">
        <v>1.05</v>
      </c>
      <c r="M34" s="20">
        <v>10399307</v>
      </c>
      <c r="N34" s="20">
        <v>8901390</v>
      </c>
      <c r="O34" s="20">
        <v>202575304</v>
      </c>
      <c r="P34" s="20">
        <v>167266268</v>
      </c>
    </row>
    <row r="35" spans="2:16">
      <c r="B35">
        <v>27</v>
      </c>
      <c r="C35" s="15">
        <v>863790</v>
      </c>
      <c r="D35" s="16">
        <v>2132699</v>
      </c>
      <c r="E35" s="15">
        <v>2223172</v>
      </c>
      <c r="F35" s="13">
        <v>5.59</v>
      </c>
      <c r="G35" s="16">
        <v>14026376</v>
      </c>
      <c r="H35" s="16">
        <v>7861507</v>
      </c>
      <c r="I35" s="15">
        <v>355708</v>
      </c>
      <c r="J35" s="15">
        <v>1867464</v>
      </c>
      <c r="K35" s="12">
        <v>0.16</v>
      </c>
      <c r="L35" s="26">
        <v>1</v>
      </c>
      <c r="M35" s="16">
        <v>9994206</v>
      </c>
      <c r="N35" s="16">
        <v>8544901</v>
      </c>
      <c r="O35" s="16">
        <v>212569510</v>
      </c>
      <c r="P35" s="16">
        <v>175811169</v>
      </c>
    </row>
    <row r="36" spans="2:16">
      <c r="B36" s="17">
        <v>28</v>
      </c>
      <c r="C36" s="18">
        <v>863640</v>
      </c>
      <c r="D36" s="20">
        <v>2132326</v>
      </c>
      <c r="E36" s="18">
        <v>2227208</v>
      </c>
      <c r="F36" s="20">
        <v>5.58</v>
      </c>
      <c r="G36" s="20">
        <v>13983079</v>
      </c>
      <c r="H36" s="20">
        <v>7839105</v>
      </c>
      <c r="I36" s="18">
        <v>348929</v>
      </c>
      <c r="J36" s="18">
        <v>1878279</v>
      </c>
      <c r="K36" s="19">
        <v>0.1566666666666667</v>
      </c>
      <c r="L36" s="17">
        <v>1</v>
      </c>
      <c r="M36" s="20">
        <v>9971431</v>
      </c>
      <c r="N36" s="20">
        <v>8524859</v>
      </c>
      <c r="O36" s="20">
        <v>222540941</v>
      </c>
      <c r="P36" s="20">
        <v>184336028</v>
      </c>
    </row>
    <row r="37" spans="2:16">
      <c r="B37">
        <v>29</v>
      </c>
      <c r="C37" s="15">
        <v>863489</v>
      </c>
      <c r="D37" s="16">
        <v>2131954</v>
      </c>
      <c r="E37" s="15">
        <v>2339569</v>
      </c>
      <c r="F37" s="13">
        <v>5.56</v>
      </c>
      <c r="G37" s="16">
        <v>14616561</v>
      </c>
      <c r="H37" s="16">
        <v>8196191</v>
      </c>
      <c r="I37" s="15">
        <v>358734</v>
      </c>
      <c r="J37" s="15">
        <v>1980835</v>
      </c>
      <c r="K37" s="12">
        <v>0.1533333333333333</v>
      </c>
      <c r="L37" s="26">
        <v>1.05</v>
      </c>
      <c r="M37" s="16">
        <v>10328146</v>
      </c>
      <c r="N37" s="16">
        <v>8838768</v>
      </c>
      <c r="O37" s="16">
        <v>232869087</v>
      </c>
      <c r="P37" s="16">
        <v>193174796</v>
      </c>
    </row>
    <row r="38" spans="2:16">
      <c r="B38" s="17">
        <v>30</v>
      </c>
      <c r="C38" s="18">
        <v>863339</v>
      </c>
      <c r="D38" s="20">
        <v>2131583</v>
      </c>
      <c r="E38" s="18">
        <v>2451974</v>
      </c>
      <c r="F38" s="20">
        <v>5.55</v>
      </c>
      <c r="G38" s="20">
        <v>15243689</v>
      </c>
      <c r="H38" s="20">
        <v>8549883</v>
      </c>
      <c r="I38" s="18">
        <v>367796</v>
      </c>
      <c r="J38" s="18">
        <v>2084178</v>
      </c>
      <c r="K38" s="19">
        <v>0.15</v>
      </c>
      <c r="L38" s="17">
        <v>1.1</v>
      </c>
      <c r="M38" s="20">
        <v>10681467</v>
      </c>
      <c r="N38" s="20">
        <v>9149691</v>
      </c>
      <c r="O38" s="20">
        <v>243550553</v>
      </c>
      <c r="P38" s="20">
        <v>202324487</v>
      </c>
    </row>
    <row r="39" spans="2:16">
      <c r="B39">
        <v>31</v>
      </c>
      <c r="C39" s="15">
        <v>863189</v>
      </c>
      <c r="D39" s="16">
        <v>2131213</v>
      </c>
      <c r="E39" s="15">
        <v>2346442</v>
      </c>
      <c r="F39" s="13">
        <v>5.54</v>
      </c>
      <c r="G39" s="16">
        <v>14515978</v>
      </c>
      <c r="H39" s="16">
        <v>8143659</v>
      </c>
      <c r="I39" s="15">
        <v>344145</v>
      </c>
      <c r="J39" s="15">
        <v>2002297</v>
      </c>
      <c r="K39" s="12">
        <v>0.1466666666666667</v>
      </c>
      <c r="L39" s="26">
        <v>1.05</v>
      </c>
      <c r="M39" s="16">
        <v>10274873</v>
      </c>
      <c r="N39" s="16">
        <v>8791888</v>
      </c>
      <c r="O39" s="16">
        <v>253825426</v>
      </c>
      <c r="P39" s="16">
        <v>211116375</v>
      </c>
    </row>
    <row r="40" spans="2:16">
      <c r="B40" s="17">
        <v>32</v>
      </c>
      <c r="C40" s="18">
        <v>863039</v>
      </c>
      <c r="D40" s="20">
        <v>2130844</v>
      </c>
      <c r="E40" s="18">
        <v>2240457</v>
      </c>
      <c r="F40" s="20">
        <v>5.52</v>
      </c>
      <c r="G40" s="20">
        <v>13792187</v>
      </c>
      <c r="H40" s="20">
        <v>7739440</v>
      </c>
      <c r="I40" s="18">
        <v>321132</v>
      </c>
      <c r="J40" s="18">
        <v>1919325</v>
      </c>
      <c r="K40" s="19">
        <v>0.1433333333333333</v>
      </c>
      <c r="L40" s="17">
        <v>1</v>
      </c>
      <c r="M40" s="20">
        <v>9870284</v>
      </c>
      <c r="N40" s="20">
        <v>8435850</v>
      </c>
      <c r="O40" s="20">
        <v>263695710</v>
      </c>
      <c r="P40" s="20">
        <v>219552225</v>
      </c>
    </row>
    <row r="41" spans="2:16">
      <c r="B41">
        <v>33</v>
      </c>
      <c r="C41" s="15">
        <v>862890</v>
      </c>
      <c r="D41" s="16">
        <v>2130476</v>
      </c>
      <c r="E41" s="15">
        <v>2134077</v>
      </c>
      <c r="F41" s="13">
        <v>5.51</v>
      </c>
      <c r="G41" s="16">
        <v>13072660</v>
      </c>
      <c r="H41" s="16">
        <v>7337421</v>
      </c>
      <c r="I41" s="15">
        <v>298771</v>
      </c>
      <c r="J41" s="15">
        <v>1835306</v>
      </c>
      <c r="K41" s="12">
        <v>0.14</v>
      </c>
      <c r="L41" s="26">
        <v>0.95</v>
      </c>
      <c r="M41" s="16">
        <v>9467897</v>
      </c>
      <c r="N41" s="16">
        <v>8081750</v>
      </c>
      <c r="O41" s="16">
        <v>273163607</v>
      </c>
      <c r="P41" s="16">
        <v>227633975</v>
      </c>
    </row>
    <row r="42" spans="2:16">
      <c r="B42" s="17">
        <v>34</v>
      </c>
      <c r="C42" s="18">
        <v>862741</v>
      </c>
      <c r="D42" s="20">
        <v>2130109</v>
      </c>
      <c r="E42" s="18">
        <v>2136783</v>
      </c>
      <c r="F42" s="20">
        <v>5.49</v>
      </c>
      <c r="G42" s="20">
        <v>13024743</v>
      </c>
      <c r="H42" s="20">
        <v>7312262</v>
      </c>
      <c r="I42" s="18">
        <v>292027</v>
      </c>
      <c r="J42" s="18">
        <v>1844756</v>
      </c>
      <c r="K42" s="19">
        <v>0.1366666666666667</v>
      </c>
      <c r="L42" s="17">
        <v>0.95</v>
      </c>
      <c r="M42" s="20">
        <v>9442370</v>
      </c>
      <c r="N42" s="20">
        <v>8059286</v>
      </c>
      <c r="O42" s="20">
        <v>282605978</v>
      </c>
      <c r="P42" s="20">
        <v>235693261</v>
      </c>
    </row>
    <row r="43" spans="2:16">
      <c r="B43">
        <v>35</v>
      </c>
      <c r="C43" s="15">
        <v>862593</v>
      </c>
      <c r="D43" s="16">
        <v>2129742</v>
      </c>
      <c r="E43" s="15">
        <v>2139433</v>
      </c>
      <c r="F43" s="13">
        <v>5.48</v>
      </c>
      <c r="G43" s="16">
        <v>12976569</v>
      </c>
      <c r="H43" s="16">
        <v>7286944</v>
      </c>
      <c r="I43" s="15">
        <v>285258</v>
      </c>
      <c r="J43" s="15">
        <v>1854175</v>
      </c>
      <c r="K43" s="12">
        <v>0.1333333333333333</v>
      </c>
      <c r="L43" s="26">
        <v>0.95</v>
      </c>
      <c r="M43" s="16">
        <v>9416686</v>
      </c>
      <c r="N43" s="16">
        <v>8036684</v>
      </c>
      <c r="O43" s="16">
        <v>292022664</v>
      </c>
      <c r="P43" s="16">
        <v>243729944</v>
      </c>
    </row>
    <row r="44" spans="2:16">
      <c r="B44" s="17">
        <v>36</v>
      </c>
      <c r="C44" s="18">
        <v>862445</v>
      </c>
      <c r="D44" s="20">
        <v>2129376</v>
      </c>
      <c r="E44" s="18">
        <v>2251757</v>
      </c>
      <c r="F44" s="20">
        <v>5.47</v>
      </c>
      <c r="G44" s="20">
        <v>13590412</v>
      </c>
      <c r="H44" s="20">
        <v>7633455</v>
      </c>
      <c r="I44" s="18">
        <v>292728</v>
      </c>
      <c r="J44" s="18">
        <v>1959029</v>
      </c>
      <c r="K44" s="19">
        <v>0.13</v>
      </c>
      <c r="L44" s="17">
        <v>1</v>
      </c>
      <c r="M44" s="20">
        <v>9762831</v>
      </c>
      <c r="N44" s="20">
        <v>8341292</v>
      </c>
      <c r="O44" s="20">
        <v>301785495</v>
      </c>
      <c r="P44" s="20">
        <v>252071236</v>
      </c>
    </row>
    <row r="45" spans="2:16">
      <c r="B45">
        <v>37</v>
      </c>
      <c r="C45" s="15">
        <v>862297</v>
      </c>
      <c r="D45" s="16">
        <v>2129011</v>
      </c>
      <c r="E45" s="15">
        <v>2034772</v>
      </c>
      <c r="F45" s="13">
        <v>5.45</v>
      </c>
      <c r="G45" s="16">
        <v>12220084</v>
      </c>
      <c r="H45" s="16">
        <v>6865397</v>
      </c>
      <c r="I45" s="15">
        <v>257738</v>
      </c>
      <c r="J45" s="15">
        <v>1777034</v>
      </c>
      <c r="K45" s="12">
        <v>0.1266666666666666</v>
      </c>
      <c r="L45" s="26">
        <v>0.9</v>
      </c>
      <c r="M45" s="16">
        <v>8994409</v>
      </c>
      <c r="N45" s="16">
        <v>7665080</v>
      </c>
      <c r="O45" s="16">
        <v>310779904</v>
      </c>
      <c r="P45" s="16">
        <v>259736315</v>
      </c>
    </row>
    <row r="46" spans="2:16">
      <c r="B46" s="17">
        <v>38</v>
      </c>
      <c r="C46" s="18">
        <v>862150</v>
      </c>
      <c r="D46" s="20">
        <v>2128647</v>
      </c>
      <c r="E46" s="18">
        <v>2367143</v>
      </c>
      <c r="F46" s="20">
        <v>5.44</v>
      </c>
      <c r="G46" s="20">
        <v>14145806</v>
      </c>
      <c r="H46" s="20">
        <v>7949175</v>
      </c>
      <c r="I46" s="18">
        <v>291948</v>
      </c>
      <c r="J46" s="18">
        <v>2075195</v>
      </c>
      <c r="K46" s="19">
        <v>0.1233333333333334</v>
      </c>
      <c r="L46" s="17">
        <v>1.05</v>
      </c>
      <c r="M46" s="20">
        <v>10077822</v>
      </c>
      <c r="N46" s="20">
        <v>8618484</v>
      </c>
      <c r="O46" s="20">
        <v>320857726</v>
      </c>
      <c r="P46" s="20">
        <v>268354799</v>
      </c>
    </row>
    <row r="47" spans="2:16">
      <c r="B47">
        <v>39</v>
      </c>
      <c r="C47" s="15">
        <v>862002</v>
      </c>
      <c r="D47" s="16">
        <v>2128284</v>
      </c>
      <c r="E47" s="15">
        <v>2259834</v>
      </c>
      <c r="F47" s="13">
        <v>5.43</v>
      </c>
      <c r="G47" s="16">
        <v>13437608</v>
      </c>
      <c r="H47" s="16">
        <v>7552995</v>
      </c>
      <c r="I47" s="15">
        <v>271180</v>
      </c>
      <c r="J47" s="15">
        <v>1988654</v>
      </c>
      <c r="K47" s="12">
        <v>0.12</v>
      </c>
      <c r="L47" s="26">
        <v>1</v>
      </c>
      <c r="M47" s="16">
        <v>9681279</v>
      </c>
      <c r="N47" s="16">
        <v>8269526</v>
      </c>
      <c r="O47" s="16">
        <v>330539005</v>
      </c>
      <c r="P47" s="16">
        <v>276624325</v>
      </c>
    </row>
    <row r="48" spans="2:16">
      <c r="B48" s="17">
        <v>40</v>
      </c>
      <c r="C48" s="18">
        <v>861856</v>
      </c>
      <c r="D48" s="20">
        <v>2127922</v>
      </c>
      <c r="E48" s="18">
        <v>2262494</v>
      </c>
      <c r="F48" s="20">
        <v>5.41</v>
      </c>
      <c r="G48" s="20">
        <v>13386674</v>
      </c>
      <c r="H48" s="20">
        <v>7526148</v>
      </c>
      <c r="I48" s="18">
        <v>263958</v>
      </c>
      <c r="J48" s="18">
        <v>1998536</v>
      </c>
      <c r="K48" s="19">
        <v>0.1166666666666667</v>
      </c>
      <c r="L48" s="17">
        <v>1</v>
      </c>
      <c r="M48" s="20">
        <v>9654069</v>
      </c>
      <c r="N48" s="20">
        <v>8245581</v>
      </c>
      <c r="O48" s="20">
        <v>340193075</v>
      </c>
      <c r="P48" s="20">
        <v>284869906</v>
      </c>
    </row>
    <row r="49" spans="2:16">
      <c r="B49">
        <v>41</v>
      </c>
      <c r="C49" s="15">
        <v>861709</v>
      </c>
      <c r="D49" s="16">
        <v>2127560</v>
      </c>
      <c r="E49" s="15">
        <v>2375525</v>
      </c>
      <c r="F49" s="13">
        <v>5.4</v>
      </c>
      <c r="G49" s="16">
        <v>13985627</v>
      </c>
      <c r="H49" s="16">
        <v>7864747</v>
      </c>
      <c r="I49" s="15">
        <v>269226</v>
      </c>
      <c r="J49" s="15">
        <v>2106299</v>
      </c>
      <c r="K49" s="12">
        <v>0.1133333333333333</v>
      </c>
      <c r="L49" s="26">
        <v>1.05</v>
      </c>
      <c r="M49" s="16">
        <v>9992307</v>
      </c>
      <c r="N49" s="16">
        <v>8543230</v>
      </c>
      <c r="O49" s="16">
        <v>350185382</v>
      </c>
      <c r="P49" s="16">
        <v>293413136</v>
      </c>
    </row>
    <row r="50" spans="2:16">
      <c r="B50" s="17">
        <v>42</v>
      </c>
      <c r="C50" s="18">
        <v>861563</v>
      </c>
      <c r="D50" s="20">
        <v>2127199</v>
      </c>
      <c r="E50" s="18">
        <v>2488813</v>
      </c>
      <c r="F50" s="20">
        <v>5.38</v>
      </c>
      <c r="G50" s="20">
        <v>14579716</v>
      </c>
      <c r="H50" s="20">
        <v>8200770</v>
      </c>
      <c r="I50" s="18">
        <v>273769</v>
      </c>
      <c r="J50" s="18">
        <v>2215044</v>
      </c>
      <c r="K50" s="19">
        <v>0.11</v>
      </c>
      <c r="L50" s="17">
        <v>1.1</v>
      </c>
      <c r="M50" s="20">
        <v>10327969</v>
      </c>
      <c r="N50" s="20">
        <v>8838613</v>
      </c>
      <c r="O50" s="20">
        <v>360513351</v>
      </c>
      <c r="P50" s="20">
        <v>302251749</v>
      </c>
    </row>
    <row r="51" spans="2:16">
      <c r="B51">
        <v>43</v>
      </c>
      <c r="C51" s="15">
        <v>861417</v>
      </c>
      <c r="D51" s="16">
        <v>2126840</v>
      </c>
      <c r="E51" s="15">
        <v>2381073</v>
      </c>
      <c r="F51" s="13">
        <v>5.37</v>
      </c>
      <c r="G51" s="16">
        <v>13879105</v>
      </c>
      <c r="H51" s="16">
        <v>7808537</v>
      </c>
      <c r="I51" s="15">
        <v>253981</v>
      </c>
      <c r="J51" s="15">
        <v>2127092</v>
      </c>
      <c r="K51" s="12">
        <v>0.1066666666666667</v>
      </c>
      <c r="L51" s="26">
        <v>1.05</v>
      </c>
      <c r="M51" s="16">
        <v>9935377</v>
      </c>
      <c r="N51" s="16">
        <v>8493132</v>
      </c>
      <c r="O51" s="16">
        <v>370448728</v>
      </c>
      <c r="P51" s="16">
        <v>310744881</v>
      </c>
    </row>
    <row r="52" spans="2:16">
      <c r="B52" s="17">
        <v>44</v>
      </c>
      <c r="C52" s="18">
        <v>861272</v>
      </c>
      <c r="D52" s="20">
        <v>2126480</v>
      </c>
      <c r="E52" s="18">
        <v>2273067</v>
      </c>
      <c r="F52" s="20">
        <v>5.36</v>
      </c>
      <c r="G52" s="20">
        <v>13183482</v>
      </c>
      <c r="H52" s="20">
        <v>7418926</v>
      </c>
      <c r="I52" s="18">
        <v>234884</v>
      </c>
      <c r="J52" s="18">
        <v>2038183</v>
      </c>
      <c r="K52" s="19">
        <v>0.1033333333333333</v>
      </c>
      <c r="L52" s="17">
        <v>1</v>
      </c>
      <c r="M52" s="20">
        <v>9545406</v>
      </c>
      <c r="N52" s="20">
        <v>8149957</v>
      </c>
      <c r="O52" s="20">
        <v>379994134</v>
      </c>
      <c r="P52" s="20">
        <v>318894838</v>
      </c>
    </row>
    <row r="53" spans="2:16">
      <c r="B53">
        <v>45</v>
      </c>
      <c r="C53" s="15">
        <v>861127</v>
      </c>
      <c r="D53" s="16">
        <v>2126122</v>
      </c>
      <c r="E53" s="15">
        <v>2164794</v>
      </c>
      <c r="F53" s="13">
        <v>5.34</v>
      </c>
      <c r="G53" s="16">
        <v>12492840</v>
      </c>
      <c r="H53" s="16">
        <v>7031933</v>
      </c>
      <c r="I53" s="15">
        <v>216479</v>
      </c>
      <c r="J53" s="15">
        <v>1948315</v>
      </c>
      <c r="K53" s="12">
        <v>0.1</v>
      </c>
      <c r="L53" s="26">
        <v>0.95</v>
      </c>
      <c r="M53" s="16">
        <v>9158055</v>
      </c>
      <c r="N53" s="16">
        <v>7809088</v>
      </c>
      <c r="O53" s="16">
        <v>389152189</v>
      </c>
      <c r="P53" s="16">
        <v>326703926</v>
      </c>
    </row>
    <row r="54" spans="2:16">
      <c r="B54" s="17">
        <v>46</v>
      </c>
      <c r="C54" s="18">
        <v>860982</v>
      </c>
      <c r="D54" s="20">
        <v>2125765</v>
      </c>
      <c r="E54" s="18">
        <v>2167294</v>
      </c>
      <c r="F54" s="20">
        <v>5.33</v>
      </c>
      <c r="G54" s="20">
        <v>12475560</v>
      </c>
      <c r="H54" s="20">
        <v>7023865</v>
      </c>
      <c r="I54" s="18">
        <v>216729</v>
      </c>
      <c r="J54" s="18">
        <v>1950565</v>
      </c>
      <c r="K54" s="19">
        <v>0.1</v>
      </c>
      <c r="L54" s="17">
        <v>0.95</v>
      </c>
      <c r="M54" s="20">
        <v>9149630</v>
      </c>
      <c r="N54" s="20">
        <v>7801674</v>
      </c>
      <c r="O54" s="20">
        <v>398301819</v>
      </c>
      <c r="P54" s="20">
        <v>334505600</v>
      </c>
    </row>
    <row r="55" spans="2:16">
      <c r="B55">
        <v>47</v>
      </c>
      <c r="C55" s="15">
        <v>860838</v>
      </c>
      <c r="D55" s="16">
        <v>2125408</v>
      </c>
      <c r="E55" s="15">
        <v>2169792</v>
      </c>
      <c r="F55" s="13">
        <v>5.32</v>
      </c>
      <c r="G55" s="16">
        <v>12458278</v>
      </c>
      <c r="H55" s="16">
        <v>7015791</v>
      </c>
      <c r="I55" s="15">
        <v>216979</v>
      </c>
      <c r="J55" s="15">
        <v>1952813</v>
      </c>
      <c r="K55" s="12">
        <v>0.1</v>
      </c>
      <c r="L55" s="26">
        <v>0.95</v>
      </c>
      <c r="M55" s="16">
        <v>9141200</v>
      </c>
      <c r="N55" s="16">
        <v>7794256</v>
      </c>
      <c r="O55" s="16">
        <v>407443018</v>
      </c>
      <c r="P55" s="16">
        <v>342299856</v>
      </c>
    </row>
    <row r="56" spans="2:16">
      <c r="B56" s="17">
        <v>48</v>
      </c>
      <c r="C56" s="18">
        <v>860694</v>
      </c>
      <c r="D56" s="20">
        <v>2125053</v>
      </c>
      <c r="E56" s="18">
        <v>2283589</v>
      </c>
      <c r="F56" s="20">
        <v>5.3</v>
      </c>
      <c r="G56" s="20">
        <v>13078426</v>
      </c>
      <c r="H56" s="20">
        <v>7366762</v>
      </c>
      <c r="I56" s="18">
        <v>228359</v>
      </c>
      <c r="J56" s="18">
        <v>2055230</v>
      </c>
      <c r="K56" s="19">
        <v>0.1</v>
      </c>
      <c r="L56" s="17">
        <v>1</v>
      </c>
      <c r="M56" s="20">
        <v>9491815</v>
      </c>
      <c r="N56" s="20">
        <v>8102797</v>
      </c>
      <c r="O56" s="20">
        <v>416934833</v>
      </c>
      <c r="P56" s="20">
        <v>350402653</v>
      </c>
    </row>
    <row r="57" spans="2:16">
      <c r="B57">
        <v>49</v>
      </c>
      <c r="C57" s="15">
        <v>860550</v>
      </c>
      <c r="D57" s="16">
        <v>2124698</v>
      </c>
      <c r="E57" s="15">
        <v>2063355</v>
      </c>
      <c r="F57" s="13">
        <v>5.29</v>
      </c>
      <c r="G57" s="16">
        <v>11787156</v>
      </c>
      <c r="H57" s="16">
        <v>6640987</v>
      </c>
      <c r="I57" s="15">
        <v>206336</v>
      </c>
      <c r="J57" s="15">
        <v>1857020</v>
      </c>
      <c r="K57" s="12">
        <v>0.1</v>
      </c>
      <c r="L57" s="26">
        <v>0.9</v>
      </c>
      <c r="M57" s="16">
        <v>8765685</v>
      </c>
      <c r="N57" s="16">
        <v>7463803</v>
      </c>
      <c r="O57" s="16">
        <v>425700518</v>
      </c>
      <c r="P57" s="16">
        <v>357866455</v>
      </c>
    </row>
    <row r="58" spans="2:16">
      <c r="B58" s="17">
        <v>50</v>
      </c>
      <c r="C58" s="18">
        <v>860406</v>
      </c>
      <c r="D58" s="20">
        <v>2124344</v>
      </c>
      <c r="E58" s="18">
        <v>2400406</v>
      </c>
      <c r="F58" s="20">
        <v>5.28</v>
      </c>
      <c r="G58" s="20">
        <v>13677841</v>
      </c>
      <c r="H58" s="20">
        <v>7708033</v>
      </c>
      <c r="I58" s="18">
        <v>240041</v>
      </c>
      <c r="J58" s="18">
        <v>2160365</v>
      </c>
      <c r="K58" s="19">
        <v>0.1</v>
      </c>
      <c r="L58" s="17">
        <v>1.05</v>
      </c>
      <c r="M58" s="20">
        <v>9832377</v>
      </c>
      <c r="N58" s="20">
        <v>8402491</v>
      </c>
      <c r="O58" s="20">
        <v>435532894</v>
      </c>
      <c r="P58" s="20">
        <v>366268947</v>
      </c>
    </row>
    <row r="59" spans="2:16">
      <c r="B59">
        <v>51</v>
      </c>
      <c r="C59" s="15">
        <v>860263</v>
      </c>
      <c r="D59" s="16">
        <v>2123990</v>
      </c>
      <c r="E59" s="15">
        <v>2291470</v>
      </c>
      <c r="F59" s="13">
        <v>5.26</v>
      </c>
      <c r="G59" s="16">
        <v>13024009</v>
      </c>
      <c r="H59" s="16">
        <v>7341302</v>
      </c>
      <c r="I59" s="15">
        <v>229147</v>
      </c>
      <c r="J59" s="15">
        <v>2062323</v>
      </c>
      <c r="K59" s="12">
        <v>0.1</v>
      </c>
      <c r="L59" s="26">
        <v>1</v>
      </c>
      <c r="M59" s="16">
        <v>9465292</v>
      </c>
      <c r="N59" s="16">
        <v>8079457</v>
      </c>
      <c r="O59" s="16">
        <v>444998187</v>
      </c>
      <c r="P59" s="16">
        <v>374348404</v>
      </c>
    </row>
    <row r="60" spans="2:16">
      <c r="B60" s="17">
        <v>52</v>
      </c>
      <c r="C60" s="18">
        <v>860121</v>
      </c>
      <c r="D60" s="20">
        <v>2123638</v>
      </c>
      <c r="E60" s="18">
        <v>2294096</v>
      </c>
      <c r="F60" s="20">
        <v>5.25</v>
      </c>
      <c r="G60" s="20">
        <v>13005880</v>
      </c>
      <c r="H60" s="20">
        <v>7332811</v>
      </c>
      <c r="I60" s="18">
        <v>229410</v>
      </c>
      <c r="J60" s="18">
        <v>2064686</v>
      </c>
      <c r="K60" s="19">
        <v>0.1</v>
      </c>
      <c r="L60" s="17">
        <v>1</v>
      </c>
      <c r="M60" s="20">
        <v>9456449</v>
      </c>
      <c r="N60" s="20">
        <v>8071675</v>
      </c>
      <c r="O60" s="20">
        <v>454454636</v>
      </c>
      <c r="P60" s="20">
        <v>382420079</v>
      </c>
    </row>
    <row r="61" spans="2:16">
      <c r="B61">
        <v>53</v>
      </c>
      <c r="C61" s="15">
        <v>859978</v>
      </c>
      <c r="D61" s="16">
        <v>2123286</v>
      </c>
      <c r="E61" s="15">
        <v>2408678</v>
      </c>
      <c r="F61" s="13">
        <v>5.24</v>
      </c>
      <c r="G61" s="16">
        <v>13620861</v>
      </c>
      <c r="H61" s="16">
        <v>7681351</v>
      </c>
      <c r="I61" s="15">
        <v>240868</v>
      </c>
      <c r="J61" s="15">
        <v>2167810</v>
      </c>
      <c r="K61" s="12">
        <v>0.1</v>
      </c>
      <c r="L61" s="26">
        <v>1.05</v>
      </c>
      <c r="M61" s="16">
        <v>9804638</v>
      </c>
      <c r="N61" s="16">
        <v>8378081</v>
      </c>
      <c r="O61" s="16">
        <v>464259273</v>
      </c>
      <c r="P61" s="16">
        <v>390798161</v>
      </c>
    </row>
    <row r="62" spans="2:16">
      <c r="B62" s="17">
        <v>54</v>
      </c>
      <c r="C62" s="18">
        <v>859836</v>
      </c>
      <c r="D62" s="20">
        <v>2122935</v>
      </c>
      <c r="E62" s="18">
        <v>2523523</v>
      </c>
      <c r="F62" s="20">
        <v>5.22</v>
      </c>
      <c r="G62" s="20">
        <v>14234120</v>
      </c>
      <c r="H62" s="20">
        <v>8029083</v>
      </c>
      <c r="I62" s="18">
        <v>252352</v>
      </c>
      <c r="J62" s="18">
        <v>2271171</v>
      </c>
      <c r="K62" s="19">
        <v>0.1</v>
      </c>
      <c r="L62" s="17">
        <v>1.1</v>
      </c>
      <c r="M62" s="20">
        <v>10152019</v>
      </c>
      <c r="N62" s="20">
        <v>8683776</v>
      </c>
      <c r="O62" s="20">
        <v>474411292</v>
      </c>
      <c r="P62" s="20">
        <v>399481937</v>
      </c>
    </row>
    <row r="63" spans="2:16">
      <c r="B63">
        <v>55</v>
      </c>
      <c r="C63" s="15">
        <v>859694</v>
      </c>
      <c r="D63" s="16">
        <v>2122585</v>
      </c>
      <c r="E63" s="15">
        <v>2414192</v>
      </c>
      <c r="F63" s="13">
        <v>5.21</v>
      </c>
      <c r="G63" s="16">
        <v>13582911</v>
      </c>
      <c r="H63" s="16">
        <v>7663557</v>
      </c>
      <c r="I63" s="15">
        <v>241419</v>
      </c>
      <c r="J63" s="15">
        <v>2172773</v>
      </c>
      <c r="K63" s="12">
        <v>0.1</v>
      </c>
      <c r="L63" s="26">
        <v>1.05</v>
      </c>
      <c r="M63" s="16">
        <v>9786143</v>
      </c>
      <c r="N63" s="16">
        <v>8361806</v>
      </c>
      <c r="O63" s="16">
        <v>484197435</v>
      </c>
      <c r="P63" s="16">
        <v>407843743</v>
      </c>
    </row>
    <row r="64" spans="2:16">
      <c r="B64" s="17">
        <v>56</v>
      </c>
      <c r="C64" s="18">
        <v>859553</v>
      </c>
      <c r="D64" s="20">
        <v>2122236</v>
      </c>
      <c r="E64" s="18">
        <v>2304599</v>
      </c>
      <c r="F64" s="20">
        <v>5.2</v>
      </c>
      <c r="G64" s="20">
        <v>12933438</v>
      </c>
      <c r="H64" s="20">
        <v>7298838</v>
      </c>
      <c r="I64" s="18">
        <v>230460</v>
      </c>
      <c r="J64" s="18">
        <v>2074139</v>
      </c>
      <c r="K64" s="19">
        <v>0.1</v>
      </c>
      <c r="L64" s="17">
        <v>1</v>
      </c>
      <c r="M64" s="20">
        <v>9421075</v>
      </c>
      <c r="N64" s="20">
        <v>8040546</v>
      </c>
      <c r="O64" s="20">
        <v>493618509</v>
      </c>
      <c r="P64" s="20">
        <v>415884288</v>
      </c>
    </row>
    <row r="65" spans="2:16">
      <c r="B65">
        <v>57</v>
      </c>
      <c r="C65" s="15">
        <v>859412</v>
      </c>
      <c r="D65" s="16">
        <v>2121888</v>
      </c>
      <c r="E65" s="15">
        <v>2194743</v>
      </c>
      <c r="F65" s="13">
        <v>5.18</v>
      </c>
      <c r="G65" s="16">
        <v>12285701</v>
      </c>
      <c r="H65" s="16">
        <v>6934926</v>
      </c>
      <c r="I65" s="15">
        <v>219474</v>
      </c>
      <c r="J65" s="15">
        <v>1975269</v>
      </c>
      <c r="K65" s="12">
        <v>0.1</v>
      </c>
      <c r="L65" s="26">
        <v>0.95</v>
      </c>
      <c r="M65" s="16">
        <v>9056814</v>
      </c>
      <c r="N65" s="16">
        <v>7719996</v>
      </c>
      <c r="O65" s="16">
        <v>502675324</v>
      </c>
      <c r="P65" s="16">
        <v>423604285</v>
      </c>
    </row>
    <row r="66" spans="2:16">
      <c r="B66" s="17">
        <v>58</v>
      </c>
      <c r="C66" s="18">
        <v>859271</v>
      </c>
      <c r="D66" s="20">
        <v>2121540</v>
      </c>
      <c r="E66" s="18">
        <v>2197237</v>
      </c>
      <c r="F66" s="20">
        <v>5.17</v>
      </c>
      <c r="G66" s="20">
        <v>12268482</v>
      </c>
      <c r="H66" s="20">
        <v>6926835</v>
      </c>
      <c r="I66" s="18">
        <v>219724</v>
      </c>
      <c r="J66" s="18">
        <v>1977513</v>
      </c>
      <c r="K66" s="19">
        <v>0.1</v>
      </c>
      <c r="L66" s="17">
        <v>0.95</v>
      </c>
      <c r="M66" s="20">
        <v>9048375</v>
      </c>
      <c r="N66" s="20">
        <v>7712570</v>
      </c>
      <c r="O66" s="20">
        <v>511723699</v>
      </c>
      <c r="P66" s="20">
        <v>431316855</v>
      </c>
    </row>
    <row r="67" spans="2:16">
      <c r="B67">
        <v>59</v>
      </c>
      <c r="C67" s="15">
        <v>859131</v>
      </c>
      <c r="D67" s="16">
        <v>2121193</v>
      </c>
      <c r="E67" s="15">
        <v>2199731</v>
      </c>
      <c r="F67" s="13">
        <v>5.16</v>
      </c>
      <c r="G67" s="16">
        <v>12251270</v>
      </c>
      <c r="H67" s="16">
        <v>6918743</v>
      </c>
      <c r="I67" s="15">
        <v>219973</v>
      </c>
      <c r="J67" s="15">
        <v>1979758</v>
      </c>
      <c r="K67" s="12">
        <v>0.1</v>
      </c>
      <c r="L67" s="26">
        <v>0.95</v>
      </c>
      <c r="M67" s="16">
        <v>9039937</v>
      </c>
      <c r="N67" s="16">
        <v>7705144</v>
      </c>
      <c r="O67" s="16">
        <v>520763635</v>
      </c>
      <c r="P67" s="16">
        <v>439021999</v>
      </c>
    </row>
    <row r="68" spans="2:16">
      <c r="B68" s="17">
        <v>60</v>
      </c>
      <c r="C68" s="18">
        <v>858990</v>
      </c>
      <c r="D68" s="20">
        <v>2120848</v>
      </c>
      <c r="E68" s="18">
        <v>2315100</v>
      </c>
      <c r="F68" s="20">
        <v>5.14</v>
      </c>
      <c r="G68" s="20">
        <v>12861124</v>
      </c>
      <c r="H68" s="20">
        <v>7264857</v>
      </c>
      <c r="I68" s="18">
        <v>231510</v>
      </c>
      <c r="J68" s="18">
        <v>2083590</v>
      </c>
      <c r="K68" s="19">
        <v>0.1</v>
      </c>
      <c r="L68" s="17">
        <v>1</v>
      </c>
      <c r="M68" s="20">
        <v>9385704</v>
      </c>
      <c r="N68" s="20">
        <v>8009420</v>
      </c>
      <c r="O68" s="20">
        <v>530149339</v>
      </c>
      <c r="P68" s="20">
        <v>447031419</v>
      </c>
    </row>
  </sheetData>
  <mergeCells count="11">
    <mergeCell ref="B2:M2"/>
    <mergeCell ref="B4:C4"/>
    <mergeCell ref="B5:C5"/>
    <mergeCell ref="D4:E4"/>
    <mergeCell ref="D5:E5"/>
    <mergeCell ref="F4:G4"/>
    <mergeCell ref="F5:G5"/>
    <mergeCell ref="H4:I4"/>
    <mergeCell ref="H5:I5"/>
    <mergeCell ref="J4:K4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366F1"/>
  </sheetPr>
  <dimension ref="B2:E17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5" width="22.7109375" customWidth="1"/>
  </cols>
  <sheetData>
    <row r="2" spans="2:5">
      <c r="B2" s="1" t="s">
        <v>178</v>
      </c>
      <c r="C2" s="1"/>
      <c r="D2" s="1"/>
      <c r="E2" s="1"/>
    </row>
    <row r="4" spans="2:5">
      <c r="B4" s="3" t="s">
        <v>179</v>
      </c>
      <c r="C4" s="3"/>
      <c r="D4" s="3"/>
      <c r="E4" s="3"/>
    </row>
    <row r="5" spans="2:5">
      <c r="C5" s="10" t="s">
        <v>75</v>
      </c>
      <c r="D5" s="25" t="s">
        <v>76</v>
      </c>
      <c r="E5" s="10" t="s">
        <v>77</v>
      </c>
    </row>
    <row r="6" spans="2:5">
      <c r="B6" s="4" t="s">
        <v>158</v>
      </c>
      <c r="C6" s="16">
        <v>17596785</v>
      </c>
      <c r="D6" s="16">
        <v>39525368</v>
      </c>
      <c r="E6" s="16">
        <v>86473527</v>
      </c>
    </row>
    <row r="7" spans="2:5">
      <c r="B7" s="4" t="s">
        <v>180</v>
      </c>
      <c r="C7" s="16">
        <v>362934837</v>
      </c>
      <c r="D7" s="16">
        <v>530149339</v>
      </c>
      <c r="E7" s="16">
        <v>766250097</v>
      </c>
    </row>
    <row r="8" spans="2:5">
      <c r="B8" s="4" t="s">
        <v>181</v>
      </c>
      <c r="C8" s="16">
        <v>235906954</v>
      </c>
      <c r="D8" s="16">
        <v>402257723</v>
      </c>
      <c r="E8" s="16">
        <v>637936115</v>
      </c>
    </row>
    <row r="9" spans="2:5">
      <c r="B9" s="4" t="s">
        <v>182</v>
      </c>
      <c r="C9" s="16">
        <v>127027883</v>
      </c>
      <c r="D9" s="16">
        <v>127891616</v>
      </c>
      <c r="E9" s="16">
        <v>128313982</v>
      </c>
    </row>
    <row r="10" spans="2:5">
      <c r="B10" s="4" t="s">
        <v>160</v>
      </c>
      <c r="C10" s="16">
        <v>307682657</v>
      </c>
      <c r="D10" s="16">
        <v>447031419</v>
      </c>
      <c r="E10" s="16">
        <v>645050086</v>
      </c>
    </row>
    <row r="11" spans="2:5">
      <c r="B11" s="4" t="s">
        <v>183</v>
      </c>
      <c r="C11" s="12">
        <v>0.4575461142899558</v>
      </c>
      <c r="D11" s="12">
        <v>0.6629847987893773</v>
      </c>
      <c r="E11" s="12">
        <v>0.7549464960554249</v>
      </c>
    </row>
    <row r="12" spans="2:5">
      <c r="B12" s="4" t="s">
        <v>184</v>
      </c>
      <c r="C12" s="12">
        <v>0.5919607653685717</v>
      </c>
      <c r="D12" s="12">
        <v>0.7186124681040679</v>
      </c>
      <c r="E12" s="12">
        <v>0.7659360557910311</v>
      </c>
    </row>
    <row r="13" spans="2:5">
      <c r="B13" s="4" t="s">
        <v>185</v>
      </c>
      <c r="C13" s="12">
        <v>0.31</v>
      </c>
      <c r="D13" s="12">
        <v>0.21</v>
      </c>
      <c r="E13" s="12">
        <v>0.46</v>
      </c>
    </row>
    <row r="14" spans="2:5">
      <c r="B14" s="4" t="s">
        <v>161</v>
      </c>
      <c r="C14" s="12">
        <v>0.5010028863558533</v>
      </c>
      <c r="D14" s="12">
        <v>0.5010028863558533</v>
      </c>
      <c r="E14" s="12">
        <v>0.5010028863558533</v>
      </c>
    </row>
    <row r="15" spans="2:5">
      <c r="B15" s="4" t="s">
        <v>186</v>
      </c>
      <c r="C15" s="12">
        <v>0.02261099476620821</v>
      </c>
      <c r="D15" s="12">
        <v>0.01019659176414058</v>
      </c>
      <c r="E15" s="12">
        <v>0.004025633167346054</v>
      </c>
    </row>
    <row r="16" spans="2:5">
      <c r="B16" s="4" t="s">
        <v>187</v>
      </c>
      <c r="C16" s="12">
        <v>0.356</v>
      </c>
      <c r="D16" s="12">
        <v>0.356</v>
      </c>
      <c r="E16" s="12">
        <v>0.356</v>
      </c>
    </row>
    <row r="17" spans="2:5">
      <c r="B17" s="4" t="s">
        <v>188</v>
      </c>
      <c r="C17" s="16">
        <v>11700000</v>
      </c>
      <c r="D17" s="16">
        <v>19500000</v>
      </c>
      <c r="E17" s="16">
        <v>29250000</v>
      </c>
    </row>
  </sheetData>
  <mergeCells count="2">
    <mergeCell ref="B2:E2"/>
    <mergeCell ref="B4:E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6366F1"/>
  </sheetPr>
  <dimension ref="B2:E58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28.7109375" customWidth="1"/>
    <col min="4" max="4" width="52.7109375" customWidth="1"/>
    <col min="5" max="5" width="42.7109375" customWidth="1"/>
  </cols>
  <sheetData>
    <row r="2" spans="2:5">
      <c r="B2" s="1" t="s">
        <v>189</v>
      </c>
      <c r="C2" s="1"/>
      <c r="D2" s="1"/>
      <c r="E2" s="1"/>
    </row>
    <row r="3" spans="2:5">
      <c r="B3" s="2" t="s">
        <v>190</v>
      </c>
      <c r="C3" s="2"/>
      <c r="D3" s="2"/>
      <c r="E3" s="2"/>
    </row>
    <row r="5" spans="2:5">
      <c r="B5" s="4" t="s">
        <v>191</v>
      </c>
      <c r="C5" s="27" t="s">
        <v>192</v>
      </c>
      <c r="D5" s="11" t="s">
        <v>193</v>
      </c>
    </row>
    <row r="6" spans="2:5">
      <c r="C6" s="28" t="s">
        <v>194</v>
      </c>
      <c r="D6" s="11" t="s">
        <v>195</v>
      </c>
    </row>
    <row r="7" spans="2:5">
      <c r="C7" s="29" t="s">
        <v>196</v>
      </c>
      <c r="D7" s="11" t="s">
        <v>197</v>
      </c>
    </row>
    <row r="8" spans="2:5">
      <c r="C8" s="30" t="s">
        <v>198</v>
      </c>
      <c r="D8" s="11" t="s">
        <v>199</v>
      </c>
    </row>
    <row r="10" spans="2:5">
      <c r="B10" s="3" t="s">
        <v>200</v>
      </c>
      <c r="C10" s="3"/>
      <c r="D10" s="3"/>
      <c r="E10" s="3"/>
    </row>
    <row r="11" spans="2:5">
      <c r="B11" s="10" t="s">
        <v>201</v>
      </c>
      <c r="C11" s="10" t="s">
        <v>202</v>
      </c>
      <c r="D11" s="10" t="s">
        <v>203</v>
      </c>
      <c r="E11" s="10" t="s">
        <v>204</v>
      </c>
    </row>
    <row r="12" spans="2:5">
      <c r="B12" s="4" t="s">
        <v>15</v>
      </c>
      <c r="C12" s="27" t="s">
        <v>205</v>
      </c>
      <c r="D12" s="11" t="s">
        <v>206</v>
      </c>
      <c r="E12" s="27" t="s">
        <v>192</v>
      </c>
    </row>
    <row r="13" spans="2:5">
      <c r="B13" s="4" t="s">
        <v>91</v>
      </c>
      <c r="C13" s="27" t="s">
        <v>207</v>
      </c>
      <c r="D13" s="11" t="s">
        <v>208</v>
      </c>
      <c r="E13" s="27" t="s">
        <v>192</v>
      </c>
    </row>
    <row r="14" spans="2:5">
      <c r="B14" s="4" t="s">
        <v>209</v>
      </c>
      <c r="C14" s="27" t="s">
        <v>210</v>
      </c>
      <c r="D14" s="11" t="s">
        <v>211</v>
      </c>
      <c r="E14" s="27" t="s">
        <v>192</v>
      </c>
    </row>
    <row r="15" spans="2:5">
      <c r="B15" s="4" t="s">
        <v>212</v>
      </c>
      <c r="C15" s="27" t="s">
        <v>213</v>
      </c>
      <c r="D15" s="11" t="s">
        <v>214</v>
      </c>
      <c r="E15" s="27" t="s">
        <v>192</v>
      </c>
    </row>
    <row r="16" spans="2:5">
      <c r="B16" s="4" t="s">
        <v>215</v>
      </c>
      <c r="C16" s="27" t="s">
        <v>216</v>
      </c>
      <c r="D16" s="11" t="s">
        <v>217</v>
      </c>
      <c r="E16" s="27" t="s">
        <v>192</v>
      </c>
    </row>
    <row r="17" spans="2:5">
      <c r="B17" s="4" t="s">
        <v>218</v>
      </c>
      <c r="C17" s="27" t="s">
        <v>219</v>
      </c>
      <c r="D17" s="11" t="s">
        <v>220</v>
      </c>
      <c r="E17" s="27" t="s">
        <v>192</v>
      </c>
    </row>
    <row r="18" spans="2:5">
      <c r="B18" s="4" t="s">
        <v>221</v>
      </c>
      <c r="C18" s="27" t="s">
        <v>222</v>
      </c>
      <c r="D18" s="11" t="s">
        <v>223</v>
      </c>
      <c r="E18" s="27" t="s">
        <v>192</v>
      </c>
    </row>
    <row r="19" spans="2:5">
      <c r="B19" s="4" t="s">
        <v>224</v>
      </c>
      <c r="C19" s="27" t="s">
        <v>225</v>
      </c>
      <c r="D19" s="11" t="s">
        <v>226</v>
      </c>
      <c r="E19" s="27" t="s">
        <v>192</v>
      </c>
    </row>
    <row r="20" spans="2:5">
      <c r="B20" s="4" t="s">
        <v>227</v>
      </c>
      <c r="C20" s="27" t="s">
        <v>228</v>
      </c>
      <c r="D20" s="11" t="s">
        <v>229</v>
      </c>
      <c r="E20" s="27" t="s">
        <v>192</v>
      </c>
    </row>
    <row r="21" spans="2:5">
      <c r="B21" s="4" t="s">
        <v>230</v>
      </c>
      <c r="C21" s="27" t="s">
        <v>231</v>
      </c>
      <c r="D21" s="11" t="s">
        <v>232</v>
      </c>
      <c r="E21" s="27" t="s">
        <v>192</v>
      </c>
    </row>
    <row r="22" spans="2:5">
      <c r="B22" s="4" t="s">
        <v>233</v>
      </c>
      <c r="C22" s="27" t="s">
        <v>234</v>
      </c>
      <c r="D22" s="11" t="s">
        <v>235</v>
      </c>
      <c r="E22" s="27" t="s">
        <v>192</v>
      </c>
    </row>
    <row r="23" spans="2:5">
      <c r="B23" s="4" t="s">
        <v>236</v>
      </c>
      <c r="C23" s="27" t="s">
        <v>237</v>
      </c>
      <c r="D23" s="11" t="s">
        <v>238</v>
      </c>
      <c r="E23" s="27" t="s">
        <v>192</v>
      </c>
    </row>
    <row r="24" spans="2:5">
      <c r="B24" s="4" t="s">
        <v>239</v>
      </c>
      <c r="C24" s="27" t="s">
        <v>240</v>
      </c>
      <c r="D24" s="11" t="s">
        <v>241</v>
      </c>
      <c r="E24" s="27" t="s">
        <v>192</v>
      </c>
    </row>
    <row r="26" spans="2:5">
      <c r="B26" s="3" t="s">
        <v>242</v>
      </c>
      <c r="C26" s="3"/>
      <c r="D26" s="3"/>
      <c r="E26" s="3"/>
    </row>
    <row r="27" spans="2:5">
      <c r="B27" s="10" t="s">
        <v>74</v>
      </c>
      <c r="C27" s="10" t="s">
        <v>243</v>
      </c>
      <c r="D27" s="10" t="s">
        <v>244</v>
      </c>
      <c r="E27" s="10" t="s">
        <v>204</v>
      </c>
    </row>
    <row r="28" spans="2:5">
      <c r="B28" s="4" t="s">
        <v>245</v>
      </c>
      <c r="C28" s="28" t="s">
        <v>246</v>
      </c>
      <c r="D28" s="11" t="s">
        <v>247</v>
      </c>
      <c r="E28" s="28" t="s">
        <v>194</v>
      </c>
    </row>
    <row r="29" spans="2:5">
      <c r="B29" s="4" t="s">
        <v>248</v>
      </c>
      <c r="C29" s="28" t="s">
        <v>249</v>
      </c>
      <c r="D29" s="11" t="s">
        <v>37</v>
      </c>
      <c r="E29" s="28" t="s">
        <v>194</v>
      </c>
    </row>
    <row r="30" spans="2:5">
      <c r="B30" s="4" t="s">
        <v>250</v>
      </c>
      <c r="C30" s="28" t="s">
        <v>251</v>
      </c>
      <c r="D30" s="11" t="s">
        <v>43</v>
      </c>
      <c r="E30" s="28" t="s">
        <v>194</v>
      </c>
    </row>
    <row r="31" spans="2:5">
      <c r="B31" s="4" t="s">
        <v>81</v>
      </c>
      <c r="C31" s="28" t="s">
        <v>252</v>
      </c>
      <c r="D31" s="11" t="s">
        <v>31</v>
      </c>
      <c r="E31" s="28" t="s">
        <v>194</v>
      </c>
    </row>
    <row r="32" spans="2:5">
      <c r="B32" s="4" t="s">
        <v>253</v>
      </c>
      <c r="C32" s="28" t="s">
        <v>254</v>
      </c>
      <c r="D32" s="11" t="s">
        <v>255</v>
      </c>
      <c r="E32" s="28" t="s">
        <v>194</v>
      </c>
    </row>
    <row r="33" spans="2:5">
      <c r="B33" s="4" t="s">
        <v>256</v>
      </c>
      <c r="C33" s="28" t="s">
        <v>257</v>
      </c>
      <c r="D33" s="11" t="s">
        <v>258</v>
      </c>
      <c r="E33" s="28" t="s">
        <v>194</v>
      </c>
    </row>
    <row r="34" spans="2:5">
      <c r="B34" s="4" t="s">
        <v>259</v>
      </c>
      <c r="C34" s="28" t="s">
        <v>260</v>
      </c>
      <c r="D34" s="11" t="s">
        <v>261</v>
      </c>
      <c r="E34" s="28" t="s">
        <v>194</v>
      </c>
    </row>
    <row r="35" spans="2:5">
      <c r="B35" s="4" t="s">
        <v>262</v>
      </c>
      <c r="C35" s="28" t="s">
        <v>263</v>
      </c>
      <c r="D35" s="11" t="s">
        <v>264</v>
      </c>
      <c r="E35" s="28" t="s">
        <v>194</v>
      </c>
    </row>
    <row r="37" spans="2:5">
      <c r="B37" s="3" t="s">
        <v>265</v>
      </c>
      <c r="C37" s="3"/>
      <c r="D37" s="3"/>
      <c r="E37" s="3"/>
    </row>
    <row r="38" spans="2:5">
      <c r="B38" s="10" t="s">
        <v>266</v>
      </c>
      <c r="C38" s="10" t="s">
        <v>267</v>
      </c>
      <c r="D38" s="10" t="s">
        <v>268</v>
      </c>
      <c r="E38" s="10" t="s">
        <v>204</v>
      </c>
    </row>
    <row r="39" spans="2:5" ht="35" customHeight="1">
      <c r="B39" s="4" t="s">
        <v>269</v>
      </c>
      <c r="C39" s="29" t="s">
        <v>270</v>
      </c>
      <c r="D39" s="11" t="s">
        <v>271</v>
      </c>
      <c r="E39" s="29" t="s">
        <v>196</v>
      </c>
    </row>
    <row r="40" spans="2:5" ht="35" customHeight="1">
      <c r="B40" s="4" t="s">
        <v>272</v>
      </c>
      <c r="C40" s="29" t="s">
        <v>273</v>
      </c>
      <c r="D40" s="11" t="s">
        <v>274</v>
      </c>
      <c r="E40" s="29" t="s">
        <v>196</v>
      </c>
    </row>
    <row r="41" spans="2:5" ht="35" customHeight="1">
      <c r="B41" s="4" t="s">
        <v>275</v>
      </c>
      <c r="C41" s="29" t="s">
        <v>276</v>
      </c>
      <c r="D41" s="11" t="s">
        <v>277</v>
      </c>
      <c r="E41" s="29" t="s">
        <v>196</v>
      </c>
    </row>
    <row r="42" spans="2:5" ht="35" customHeight="1">
      <c r="B42" s="4" t="s">
        <v>278</v>
      </c>
      <c r="C42" s="29" t="s">
        <v>279</v>
      </c>
      <c r="D42" s="11" t="s">
        <v>280</v>
      </c>
      <c r="E42" s="29" t="s">
        <v>196</v>
      </c>
    </row>
    <row r="43" spans="2:5" ht="35" customHeight="1">
      <c r="B43" s="4" t="s">
        <v>281</v>
      </c>
      <c r="C43" s="29" t="s">
        <v>282</v>
      </c>
      <c r="D43" s="11" t="s">
        <v>283</v>
      </c>
      <c r="E43" s="29" t="s">
        <v>196</v>
      </c>
    </row>
    <row r="44" spans="2:5" ht="35" customHeight="1">
      <c r="B44" s="4" t="s">
        <v>284</v>
      </c>
      <c r="C44" s="29" t="s">
        <v>285</v>
      </c>
      <c r="D44" s="11" t="s">
        <v>286</v>
      </c>
      <c r="E44" s="29" t="s">
        <v>196</v>
      </c>
    </row>
    <row r="45" spans="2:5" ht="35" customHeight="1">
      <c r="B45" s="4" t="s">
        <v>287</v>
      </c>
      <c r="C45" s="29" t="s">
        <v>288</v>
      </c>
      <c r="D45" s="11" t="s">
        <v>289</v>
      </c>
      <c r="E45" s="29" t="s">
        <v>196</v>
      </c>
    </row>
    <row r="47" spans="2:5">
      <c r="B47" s="3" t="s">
        <v>290</v>
      </c>
      <c r="C47" s="3"/>
      <c r="D47" s="3"/>
      <c r="E47" s="3"/>
    </row>
    <row r="48" spans="2:5">
      <c r="B48" s="10" t="s">
        <v>291</v>
      </c>
      <c r="C48" s="10" t="s">
        <v>292</v>
      </c>
      <c r="D48" s="10" t="s">
        <v>293</v>
      </c>
      <c r="E48" s="10" t="s">
        <v>204</v>
      </c>
    </row>
    <row r="49" spans="2:5">
      <c r="B49" s="4" t="s">
        <v>294</v>
      </c>
      <c r="C49" s="30" t="s">
        <v>295</v>
      </c>
      <c r="D49" s="11" t="s">
        <v>296</v>
      </c>
      <c r="E49" s="30" t="s">
        <v>198</v>
      </c>
    </row>
    <row r="50" spans="2:5">
      <c r="B50" s="4" t="s">
        <v>297</v>
      </c>
      <c r="C50" s="30" t="s">
        <v>298</v>
      </c>
      <c r="D50" s="11" t="s">
        <v>299</v>
      </c>
      <c r="E50" s="30" t="s">
        <v>198</v>
      </c>
    </row>
    <row r="51" spans="2:5">
      <c r="B51" s="4" t="s">
        <v>300</v>
      </c>
      <c r="C51" s="30" t="s">
        <v>301</v>
      </c>
      <c r="D51" s="11" t="s">
        <v>302</v>
      </c>
      <c r="E51" s="30" t="s">
        <v>198</v>
      </c>
    </row>
    <row r="52" spans="2:5">
      <c r="B52" s="4" t="s">
        <v>303</v>
      </c>
      <c r="C52" s="30" t="s">
        <v>304</v>
      </c>
      <c r="D52" s="11" t="s">
        <v>305</v>
      </c>
      <c r="E52" s="30" t="s">
        <v>198</v>
      </c>
    </row>
    <row r="53" spans="2:5">
      <c r="B53" s="4" t="s">
        <v>306</v>
      </c>
      <c r="C53" s="30" t="s">
        <v>307</v>
      </c>
      <c r="D53" s="11" t="s">
        <v>308</v>
      </c>
      <c r="E53" s="30" t="s">
        <v>198</v>
      </c>
    </row>
    <row r="54" spans="2:5">
      <c r="B54" s="4" t="s">
        <v>309</v>
      </c>
      <c r="C54" s="30" t="s">
        <v>310</v>
      </c>
      <c r="D54" s="11" t="s">
        <v>311</v>
      </c>
      <c r="E54" s="30" t="s">
        <v>198</v>
      </c>
    </row>
    <row r="55" spans="2:5">
      <c r="B55" s="4" t="s">
        <v>312</v>
      </c>
      <c r="C55" s="30" t="s">
        <v>313</v>
      </c>
      <c r="D55" s="11" t="s">
        <v>314</v>
      </c>
      <c r="E55" s="30" t="s">
        <v>198</v>
      </c>
    </row>
    <row r="58" spans="2:5">
      <c r="B58" s="6" t="s">
        <v>315</v>
      </c>
      <c r="C58" s="6"/>
      <c r="D58" s="6"/>
      <c r="E58" s="6"/>
    </row>
  </sheetData>
  <mergeCells count="7">
    <mergeCell ref="B2:E2"/>
    <mergeCell ref="B3:E3"/>
    <mergeCell ref="B10:E10"/>
    <mergeCell ref="B26:E26"/>
    <mergeCell ref="B37:E37"/>
    <mergeCell ref="B47:E47"/>
    <mergeCell ref="B58:E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Marktdaten</vt:lpstr>
      <vt:lpstr>Apothekenverteilung</vt:lpstr>
      <vt:lpstr>Forecast</vt:lpstr>
      <vt:lpstr>Dashboard</vt:lpstr>
      <vt:lpstr>Methodik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2026-02-14T02:46:17Z</dcterms:created>
  <dcterms:modified xsi:type="dcterms:W3CDTF">2026-02-14T02:46:17Z</dcterms:modified>
</cp:coreProperties>
</file>