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arktdaten" sheetId="2" r:id="rId2"/>
    <sheet name="Omnichannel" sheetId="3" r:id="rId3"/>
    <sheet name="Forecast" sheetId="4" r:id="rId4"/>
    <sheet name="Dashboard" sheetId="5" r:id="rId5"/>
    <sheet name="Methodik" sheetId="6" r:id="rId6"/>
  </sheets>
  <calcPr calcId="124519" fullCalcOnLoad="1"/>
</workbook>
</file>

<file path=xl/sharedStrings.xml><?xml version="1.0" encoding="utf-8"?>
<sst xmlns="http://schemas.openxmlformats.org/spreadsheetml/2006/main" count="385" uniqueCount="325">
  <si>
    <t>Sildenafil Rx-to-OTC Switch - Forecast Modell</t>
  </si>
  <si>
    <t>Viatris / Viagra Connect 50mg | Referenz: UK OTC Launch 2018</t>
  </si>
  <si>
    <t>1. PRODUKT &amp; EPIDEMIOLOGIE</t>
  </si>
  <si>
    <t>Produkt</t>
  </si>
  <si>
    <t>Viagra Connect 50mg</t>
  </si>
  <si>
    <t>Viatris-Marke fuer OTC</t>
  </si>
  <si>
    <t>Molekuel</t>
  </si>
  <si>
    <t>Sildenafil</t>
  </si>
  <si>
    <t>PDE5-Hemmer</t>
  </si>
  <si>
    <t>Unternehmen</t>
  </si>
  <si>
    <t>Viatris</t>
  </si>
  <si>
    <t>Inhaber der Marke Viagra</t>
  </si>
  <si>
    <t>Switch-Datum (hypothetisch)</t>
  </si>
  <si>
    <t>2027</t>
  </si>
  <si>
    <t>BMG koennte SVA ueberstimmen</t>
  </si>
  <si>
    <t>ED-Praevalenz DE</t>
  </si>
  <si>
    <t>Maenner mit moderater-schwerer ED</t>
  </si>
  <si>
    <t>Therapiequote aktuell</t>
  </si>
  <si>
    <t>Nur 1/3 werden behandelt</t>
  </si>
  <si>
    <t>Therapieluecke</t>
  </si>
  <si>
    <t>Unbehandelte Maenner (berechnet)</t>
  </si>
  <si>
    <t>2. RX-MARKT (vor Switch)</t>
  </si>
  <si>
    <t>Sildenafil Rx Pack./Monat</t>
  </si>
  <si>
    <t>65% von ~2.6M PDE5 Pack./Jahr ÷ 12</t>
  </si>
  <si>
    <t>Viagra Preis/Tablette (EUR)</t>
  </si>
  <si>
    <t>Markenpreis 50mg (4er Pack)</t>
  </si>
  <si>
    <t>Generika Preis/Tablette (EUR)</t>
  </si>
  <si>
    <t>Durchschnitt (Spanne 0.95-2.30)</t>
  </si>
  <si>
    <t>Viagra Markenanteil (Rx)</t>
  </si>
  <si>
    <t>~10% der Sildenafil-Packs</t>
  </si>
  <si>
    <t>Rx-Rueckgang durch OTC</t>
  </si>
  <si>
    <t>UK: Rx stieg sogar! Konservativ: -8%</t>
  </si>
  <si>
    <t>GKV-Erstattung</t>
  </si>
  <si>
    <t>NEIN</t>
  </si>
  <si>
    <t>Patient zahlt 100% (Lifestyle-AM)</t>
  </si>
  <si>
    <t>3. OTC-KANAL</t>
  </si>
  <si>
    <t>OTC Preis/Tablette (EUR)</t>
  </si>
  <si>
    <t>Zwischen UK GBP 5 und Rx-Generika EUR 1.50</t>
  </si>
  <si>
    <t>OTC Peak Packungen/Monat</t>
  </si>
  <si>
    <t>Alle Kanaele zusammen</t>
  </si>
  <si>
    <t>Monate bis Peak</t>
  </si>
  <si>
    <t>Ramp-up-Dauer</t>
  </si>
  <si>
    <t>Neue Patienten (% OTC-Vol.)</t>
  </si>
  <si>
    <t>UK-Referenz: 63% nie vorher behandelt</t>
  </si>
  <si>
    <t>Preiselastizitaet</t>
  </si>
  <si>
    <t>Niedrig: Patient zahlt ohnehin 100% Rx</t>
  </si>
  <si>
    <t>Preistrend p.a.</t>
  </si>
  <si>
    <t>Generikadruck auf OTC-Preis</t>
  </si>
  <si>
    <t>4. OMNICHANNEL-VERTEILUNG</t>
  </si>
  <si>
    <t>Stationaere Apotheke (%)</t>
  </si>
  <si>
    <t>Face-to-face, Beratung, Sofortabholung</t>
  </si>
  <si>
    <t>Online-Apotheke (%)</t>
  </si>
  <si>
    <t>DocMorris, Shop Apotheke – Anonymitaet!</t>
  </si>
  <si>
    <t>Drogerie/Sonstige (%)</t>
  </si>
  <si>
    <t>Nur falls freiverkaeuflich (unwahrscheinlich)</t>
  </si>
  <si>
    <t>Online-Wachstum p.a. (Pp.)</t>
  </si>
  <si>
    <t>CAGR OTC Online: 12.6%</t>
  </si>
  <si>
    <t>Apothekenmarge (stationaer)</t>
  </si>
  <si>
    <t>Freie OTC-Preisgestaltung</t>
  </si>
  <si>
    <t>Online-Marge</t>
  </si>
  <si>
    <t>Wettbewerbsdruck, niedrigere Kosten</t>
  </si>
  <si>
    <t>5. MARKE vs. GENERIKA OTC</t>
  </si>
  <si>
    <t>Viagra Connect Anteil (OTC)</t>
  </si>
  <si>
    <t>Markenstaerke vs. Generikadruck</t>
  </si>
  <si>
    <t>Markenanteil-Erosion p.a.</t>
  </si>
  <si>
    <t>Generikahersteller dringen in OTC</t>
  </si>
  <si>
    <t>Preispremium Marke</t>
  </si>
  <si>
    <t>Marke ist 1.8x teurer als Generika OTC</t>
  </si>
  <si>
    <t>6. TELEMEDIZIN-DISRUPTION</t>
  </si>
  <si>
    <t>Telemed. Umsatz/Mon. (EUR)</t>
  </si>
  <si>
    <t>Zava, GoSpring, TeleClinic etc.</t>
  </si>
  <si>
    <t>Telemed. Umsatzrueckgang</t>
  </si>
  <si>
    <t>OTC entfernt Rezeptpflicht als USP</t>
  </si>
  <si>
    <t>Telemed. Retention</t>
  </si>
  <si>
    <t>Verbleibend: Beratung, Diagnostik</t>
  </si>
  <si>
    <t>7. SZENARIO-DEFINITIONEN</t>
  </si>
  <si>
    <t>Parameter</t>
  </si>
  <si>
    <t>Konservativ</t>
  </si>
  <si>
    <t>Base Case</t>
  </si>
  <si>
    <t>Optimistisch</t>
  </si>
  <si>
    <t>OTC Peak Pack./Mon.</t>
  </si>
  <si>
    <t>Marketing/Monat (EUR)</t>
  </si>
  <si>
    <t>Neue Patienten (%)</t>
  </si>
  <si>
    <t>Rx-Rueckgang</t>
  </si>
  <si>
    <t>Viagra Markenanteil OTC</t>
  </si>
  <si>
    <t>ED-Markt Deutschland &amp; PDE5-Wettbewerb</t>
  </si>
  <si>
    <t>Epidemiologie &amp; Therapieluecke</t>
  </si>
  <si>
    <t>ED-Praevalenz (DE)</t>
  </si>
  <si>
    <t>4-6 Mio. Maenner (bis 8 Mio. mild)</t>
  </si>
  <si>
    <t>Cologne Male Survey (n=4.489)</t>
  </si>
  <si>
    <t>19.2% ED-Praevalenz gesamt</t>
  </si>
  <si>
    <t>Moderate-schwere ED (Viatris 2023)</t>
  </si>
  <si>
    <t>~5 Mio. Maenner</t>
  </si>
  <si>
    <t>Therapiequote</t>
  </si>
  <si>
    <t>Nur 33% erhalten Behandlung</t>
  </si>
  <si>
    <t>Primaere Barriere</t>
  </si>
  <si>
    <t>Scham / Stigma (GoSpring-Studie)</t>
  </si>
  <si>
    <t>NEIN – Patient zahlt 100%</t>
  </si>
  <si>
    <t>PDE5-Hemmer Wettbewerb</t>
  </si>
  <si>
    <t>Marktanteil
(Packs)</t>
  </si>
  <si>
    <t>Marke</t>
  </si>
  <si>
    <t>Generika
Preis/Tab</t>
  </si>
  <si>
    <t>OTC?</t>
  </si>
  <si>
    <t>Viagra (Viatris)</t>
  </si>
  <si>
    <t>3x abgelehnt (BfArM SVA)</t>
  </si>
  <si>
    <t>Tadalafil</t>
  </si>
  <si>
    <t>Cialis (Lilly)</t>
  </si>
  <si>
    <t>Abgelehnt (Juli 2023)</t>
  </si>
  <si>
    <t>Vardenafil</t>
  </si>
  <si>
    <t>Levitra (Bayer)</t>
  </si>
  <si>
    <t>Kein Antrag</t>
  </si>
  <si>
    <t>Avanafil</t>
  </si>
  <si>
    <t>Spedra (Menarini)</t>
  </si>
  <si>
    <t>UK Viagra Connect – Referenzfall</t>
  </si>
  <si>
    <t>OTC-Launch</t>
  </si>
  <si>
    <t>Maerz 2018 (MHRA)</t>
  </si>
  <si>
    <t>Dosierung OTC</t>
  </si>
  <si>
    <t>50mg, apothekenpflichtig</t>
  </si>
  <si>
    <t>Preis (Boots)</t>
  </si>
  <si>
    <t>GBP 19.99 / 4 Tabletten = GBP 5.00/Tab</t>
  </si>
  <si>
    <t>Umsatz Q1 (12 Wochen)</t>
  </si>
  <si>
    <t>GBP 4.3 Mio.</t>
  </si>
  <si>
    <t>Umsatz Jahr 1 (hochgerechnet)</t>
  </si>
  <si>
    <t>GBP 16 Mio.</t>
  </si>
  <si>
    <t>Neupatienten (nie vorher behandelt)</t>
  </si>
  <si>
    <t>63% (UK Real-World-Studie, n=1.162)</t>
  </si>
  <si>
    <t>NHS Rx-Effekt</t>
  </si>
  <si>
    <t>Rx-Verordnungen STIEGEN ebenfalls</t>
  </si>
  <si>
    <t>UK ED-Markt (2023)</t>
  </si>
  <si>
    <t>USD 260 Mio. (CAGR 7.2%)</t>
  </si>
  <si>
    <t>Telemedizin ED-Plattformen</t>
  </si>
  <si>
    <t>Zava (Hims)</t>
  </si>
  <si>
    <t>2M Patienten (2018), ED-Konsult. EUR 29</t>
  </si>
  <si>
    <t>GoSpring</t>
  </si>
  <si>
    <t>11.456 ED-Pat. (Mai-Nov 2019), 80% Sildenafil</t>
  </si>
  <si>
    <t>TeleClinic</t>
  </si>
  <si>
    <t>Video-Konsultation + Rx</t>
  </si>
  <si>
    <t>Disruption durch OTC</t>
  </si>
  <si>
    <t>Kerngeschaeft (Rx) entfaellt</t>
  </si>
  <si>
    <t>BfArM SVA-Entscheidungen</t>
  </si>
  <si>
    <t>Januar 2022</t>
  </si>
  <si>
    <t>1. Ablehnung (50mg)</t>
  </si>
  <si>
    <t>Oktober 2022</t>
  </si>
  <si>
    <t>BMG erklaert: WILL OTC-Switch</t>
  </si>
  <si>
    <t>Juli 2023</t>
  </si>
  <si>
    <t>2. Ablehnung (25mg + 50mg Sild. + Tadalafil)</t>
  </si>
  <si>
    <t>Januar 2025</t>
  </si>
  <si>
    <t>3. Ablehnung (keine neuen Daten)</t>
  </si>
  <si>
    <t>Status</t>
  </si>
  <si>
    <t>BMG hat noch nie SVA ueberstimmt – waere Praezedenzfall</t>
  </si>
  <si>
    <t>Omnichannel-Verteilung – OTC Sildenafil</t>
  </si>
  <si>
    <t>Monat</t>
  </si>
  <si>
    <t>Apotheke
Pack.</t>
  </si>
  <si>
    <t>Apotheke
Anteil</t>
  </si>
  <si>
    <t>Apotheke
Umsatz</t>
  </si>
  <si>
    <t>Online
Pack.</t>
  </si>
  <si>
    <t>Online
Anteil</t>
  </si>
  <si>
    <t>Online
Umsatz</t>
  </si>
  <si>
    <t>Drogerie
Pack.</t>
  </si>
  <si>
    <t>Drogerie
Anteil</t>
  </si>
  <si>
    <t>Drogerie
Umsatz</t>
  </si>
  <si>
    <t>Gesamt
OTC Pack.</t>
  </si>
  <si>
    <t>Sildenafil Rx-to-OTC Forecast – Dual Channel (Base Case)</t>
  </si>
  <si>
    <t>OTC Umsatz Jahr 1</t>
  </si>
  <si>
    <t>Gesamtumsatz 5J</t>
  </si>
  <si>
    <t>Gewinn 5J</t>
  </si>
  <si>
    <t>Online-Anteil M24</t>
  </si>
  <si>
    <t>OTC &gt; Rx ab</t>
  </si>
  <si>
    <t>Monat 6</t>
  </si>
  <si>
    <t>Rx
Pack.</t>
  </si>
  <si>
    <t>Rx
Umsatz</t>
  </si>
  <si>
    <t>OTC
Pack.</t>
  </si>
  <si>
    <t>OTC Preis
/Tab</t>
  </si>
  <si>
    <t>OTC Retail
Umsatz</t>
  </si>
  <si>
    <t>OTC Herst.
Umsatz</t>
  </si>
  <si>
    <t>Marke
Pack.</t>
  </si>
  <si>
    <t>Generika
Pack.</t>
  </si>
  <si>
    <t>Marke
%</t>
  </si>
  <si>
    <t>Awareness</t>
  </si>
  <si>
    <t>Saison</t>
  </si>
  <si>
    <t>Gesamt
Umsatz</t>
  </si>
  <si>
    <t>Oper.
Gewinn</t>
  </si>
  <si>
    <t>Kum.
Umsatz</t>
  </si>
  <si>
    <t>Kum.
Gewinn</t>
  </si>
  <si>
    <t>Executive Summary – Sildenafil OTC Switch</t>
  </si>
  <si>
    <t>Szenario-Vergleich</t>
  </si>
  <si>
    <t>Gesamtumsatz 5J (Rx+OTC)</t>
  </si>
  <si>
    <t>OTC Umsatz 5J</t>
  </si>
  <si>
    <t>Rx Umsatz 5J</t>
  </si>
  <si>
    <t>OTC-Anteil M12 (Tabletten)</t>
  </si>
  <si>
    <t>OTC-Anteil M24 (Tabletten)</t>
  </si>
  <si>
    <t>Viagra Markenanteil M12</t>
  </si>
  <si>
    <t>Rx-Rueckgang gesamt</t>
  </si>
  <si>
    <t>Telemed. Verlust 5J</t>
  </si>
  <si>
    <t>Therapiequote (neu)</t>
  </si>
  <si>
    <t>Marketing-Invest 5J</t>
  </si>
  <si>
    <t>Methodik &amp; Transparenz-Matrix</t>
  </si>
  <si>
    <t>Jeder Datenpunkt ist klassifiziert: FAKT / ANNAHME / MODELL / LUECKE</t>
  </si>
  <si>
    <t>Legende:</t>
  </si>
  <si>
    <t>FAKT</t>
  </si>
  <si>
    <t>Aus oeffentlichen Quellen</t>
  </si>
  <si>
    <t>ANNAHME</t>
  </si>
  <si>
    <t>Steuerbar (gelbe Zellen)</t>
  </si>
  <si>
    <t>MODELL</t>
  </si>
  <si>
    <t>Mathematisches Modell</t>
  </si>
  <si>
    <t>LUECKE</t>
  </si>
  <si>
    <t>Fuer Produktiveinsatz noetig</t>
  </si>
  <si>
    <t>FAKTEN</t>
  </si>
  <si>
    <t>Datenpunkt</t>
  </si>
  <si>
    <t>Wert</t>
  </si>
  <si>
    <t>Quelle</t>
  </si>
  <si>
    <t>Kat.</t>
  </si>
  <si>
    <t>4-6 Mio. (Cologne Male Survey)</t>
  </si>
  <si>
    <t>Nature / Braun et al.</t>
  </si>
  <si>
    <t>33% (2/3 unbehandelt)</t>
  </si>
  <si>
    <t>Viatris DE / Handelsblatt</t>
  </si>
  <si>
    <t>PDE5-Markt DE</t>
  </si>
  <si>
    <t>~2.6 Mio. Pack./Jahr</t>
  </si>
  <si>
    <t>IQVIA / Apotheke Adhoc</t>
  </si>
  <si>
    <t>Sildenafil-Anteil</t>
  </si>
  <si>
    <t>55-65% der PDE5-Packs</t>
  </si>
  <si>
    <t>Apotheke Adhoc / Handelsblatt</t>
  </si>
  <si>
    <t>Viagra Markenanteil</t>
  </si>
  <si>
    <t>~10% der Sild.-Packs</t>
  </si>
  <si>
    <t>Apotheke Adhoc</t>
  </si>
  <si>
    <t>Generika-Preis</t>
  </si>
  <si>
    <t>EUR 0.95-2.30/Tablette</t>
  </si>
  <si>
    <t>GoSpring / Zava</t>
  </si>
  <si>
    <t>BfArM SVA: 3x abgelehnt</t>
  </si>
  <si>
    <t>2022, 2023, 2025</t>
  </si>
  <si>
    <t>Citeline / Apotheke Adhoc</t>
  </si>
  <si>
    <t>BMG will Switch</t>
  </si>
  <si>
    <t>Okt. 2022 erklaert</t>
  </si>
  <si>
    <t>Citeline / HBW Insight</t>
  </si>
  <si>
    <t>UK Viagra Connect</t>
  </si>
  <si>
    <t>Maerz 2018, GBP 5/Tab</t>
  </si>
  <si>
    <t>MHRA / Boots</t>
  </si>
  <si>
    <t>UK: 63% Neupatienten</t>
  </si>
  <si>
    <t>n=1.162, Lee et al. 2021</t>
  </si>
  <si>
    <t>PMC / IJCP</t>
  </si>
  <si>
    <t>UK: Rx STIEG post-Switch</t>
  </si>
  <si>
    <t>NHS Rx nicht kannibalisiert</t>
  </si>
  <si>
    <t>PAGB/Frontier Economics</t>
  </si>
  <si>
    <t>GKV: keine Erstattung ED</t>
  </si>
  <si>
    <t>Lifestyle-AM (SGB V)</t>
  </si>
  <si>
    <t>GKV-SV</t>
  </si>
  <si>
    <t>Online-Apotheke CAGR OTC</t>
  </si>
  <si>
    <t>12.6% durch 2030</t>
  </si>
  <si>
    <t>Grand View Research</t>
  </si>
  <si>
    <t>ANNAHMEN</t>
  </si>
  <si>
    <t>Default</t>
  </si>
  <si>
    <t>Begruendung</t>
  </si>
  <si>
    <t>OTC Peak Vol.</t>
  </si>
  <si>
    <t>350K Pack./Mon.</t>
  </si>
  <si>
    <t>Hochrechnung: UK + DE-Marktgroesse</t>
  </si>
  <si>
    <t>OTC Preis</t>
  </si>
  <si>
    <t>EUR 5.99/Tab</t>
  </si>
  <si>
    <t>Neue Patienten</t>
  </si>
  <si>
    <t>63%</t>
  </si>
  <si>
    <t>8%</t>
  </si>
  <si>
    <t>Online-Anteil</t>
  </si>
  <si>
    <t>40% (steigend)</t>
  </si>
  <si>
    <t>Anonymitaet = Kernvorteil bei ED/Stigma</t>
  </si>
  <si>
    <t>Markenanteil</t>
  </si>
  <si>
    <t>45% (sinkend)</t>
  </si>
  <si>
    <t>Viagra-Brand stark, aber Generikadruck</t>
  </si>
  <si>
    <t>Telemed. Verlust</t>
  </si>
  <si>
    <t>60%</t>
  </si>
  <si>
    <t>Rx-Pflicht = Kern-USP der Plattformen</t>
  </si>
  <si>
    <t>Marketing</t>
  </si>
  <si>
    <t>EUR 500K/Mon.</t>
  </si>
  <si>
    <t>Hoeher als PPI: DTC Brand Building</t>
  </si>
  <si>
    <t>MODELLE</t>
  </si>
  <si>
    <t>Modell</t>
  </si>
  <si>
    <t>Formel / Logik</t>
  </si>
  <si>
    <t>Referenz</t>
  </si>
  <si>
    <t>OTC-Ramp</t>
  </si>
  <si>
    <t>Logistic S-Curve (peak, midpoint, steepness)</t>
  </si>
  <si>
    <t>UK Viagra Connect Launch-Kurve</t>
  </si>
  <si>
    <t>Rx-Effekt</t>
  </si>
  <si>
    <t>Exp. Decay mit hohem Floor (92%)</t>
  </si>
  <si>
    <t>UK: Rx stieg – konservativ modelliert</t>
  </si>
  <si>
    <t>Omnichannel</t>
  </si>
  <si>
    <t>3 Kanaele mit zeitabh. Share-Evolution</t>
  </si>
  <si>
    <t>Online CAGR 12.6%, Discretion-Faktor</t>
  </si>
  <si>
    <t>Discretion-Bonus</t>
  </si>
  <si>
    <t>Kanal-Volumen * (1 + (disc-0.7)*0.15)</t>
  </si>
  <si>
    <t>ED-Stigma treibt anonyme Kanaele</t>
  </si>
  <si>
    <t>Telemed.-Disruption</t>
  </si>
  <si>
    <t>Exp. Decay + Pivot-Retention (15%)</t>
  </si>
  <si>
    <t>Zava/GoSpring verlieren Rx-Geschaeft</t>
  </si>
  <si>
    <t>Markenanteil-Erosion</t>
  </si>
  <si>
    <t>Linear: -3Pp/Jahr, Floor 15%</t>
  </si>
  <si>
    <t>Generikadruck analog UK</t>
  </si>
  <si>
    <t>S-Kurve mit hoher Baseline (60%)</t>
  </si>
  <si>
    <t>Viagra ist bereits hochbekannt</t>
  </si>
  <si>
    <t>Tadalafil-Migration</t>
  </si>
  <si>
    <t>Logistic: 12% der Tada-Packs zu OTC Sild.</t>
  </si>
  <si>
    <t>Convenience-Vorteil OTC</t>
  </si>
  <si>
    <t>LUECKEN</t>
  </si>
  <si>
    <t>Gap</t>
  </si>
  <si>
    <t>Beschreibung</t>
  </si>
  <si>
    <t>Datenquelle</t>
  </si>
  <si>
    <t>IQVIA PDE5-Detaildaten</t>
  </si>
  <si>
    <t>Monatl. Pack./Umsatz pro Produkt + Kanal</t>
  </si>
  <si>
    <t>IQVIA Prescription Analytics</t>
  </si>
  <si>
    <t>Apotheken-Empfehlungsverhalten</t>
  </si>
  <si>
    <t>Substitutionspraeferenzen bei OTC-Beratung</t>
  </si>
  <si>
    <t>IQVIA / GfK Panel</t>
  </si>
  <si>
    <t>Consumer-Tracking ED</t>
  </si>
  <si>
    <t>Awareness, Consideration, Trial auf Produktebene</t>
  </si>
  <si>
    <t>GfK / Kantar Consumer Panel</t>
  </si>
  <si>
    <t>Preiselastizitaet (gemessen)</t>
  </si>
  <si>
    <t>Conjoint-Analyse fuer OTC ED-Preispunkte</t>
  </si>
  <si>
    <t>Primaerforschung / Scanner-Daten</t>
  </si>
  <si>
    <t>Online-Kanal Split</t>
  </si>
  <si>
    <t>Marktanteile DocMorris vs. Shop Apotheke fuer ED</t>
  </si>
  <si>
    <t>SEMPORA / IQVIA</t>
  </si>
  <si>
    <t>Telemedizin-Umsatzdaten</t>
  </si>
  <si>
    <t>Tatsaechliche ED-Umsaetze Zava/GoSpring DE</t>
  </si>
  <si>
    <t>Firmenberichte (nicht-oeffentlich)</t>
  </si>
  <si>
    <t>BfArM Switch-Wahrscheinlichkeit</t>
  </si>
  <si>
    <t>Politische Dynamik BMG vs. SVA</t>
  </si>
  <si>
    <t>Regulatorische Intelligence</t>
  </si>
  <si>
    <t>Hinweis: Alle Daten synthetisch. Referenzen: UK Viagra Connect (2018), IQVIA PDE5-Markt DE, BfArM SVA-Protokolle, PMC Lee et al. 2021, Viatris Investor Relations. Kein Bezug zu vertraulichen Daten.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</si>
</sst>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€#,##0.00"/>
    <numFmt numFmtId="167" formatCode="€#,##0"/>
    <numFmt numFmtId="168" formatCode="0.00"/>
  </numFmts>
  <fonts count="13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2"/>
      <color rgb="FF1E3A5F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11"/>
      <color rgb="FF1A237E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4"/>
      <color rgb="FF134E4A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2F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E0B800"/>
      </left>
      <right style="thin">
        <color rgb="FFE0B800"/>
      </right>
      <top style="thin">
        <color rgb="FFE0B800"/>
      </top>
      <bottom style="thin">
        <color rgb="FFE0B8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 applyAlignment="1">
      <alignment vertical="center"/>
    </xf>
    <xf numFmtId="0" fontId="5" fillId="3" borderId="3" xfId="0" applyFont="1" applyFill="1" applyBorder="1"/>
    <xf numFmtId="0" fontId="6" fillId="0" borderId="0" xfId="0" applyFont="1" applyAlignment="1">
      <alignment vertical="center" wrapText="1"/>
    </xf>
    <xf numFmtId="164" fontId="5" fillId="3" borderId="3" xfId="0" applyNumberFormat="1" applyFont="1" applyFill="1" applyBorder="1"/>
    <xf numFmtId="165" fontId="5" fillId="3" borderId="3" xfId="0" applyNumberFormat="1" applyFont="1" applyFill="1" applyBorder="1"/>
    <xf numFmtId="166" fontId="5" fillId="3" borderId="3" xfId="0" applyNumberFormat="1" applyFont="1" applyFill="1" applyBorder="1"/>
    <xf numFmtId="0" fontId="7" fillId="4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0" fontId="7" fillId="5" borderId="4" xfId="0" applyFont="1" applyFill="1" applyBorder="1" applyAlignment="1">
      <alignment horizontal="center" vertical="center" wrapText="1"/>
    </xf>
    <xf numFmtId="164" fontId="0" fillId="0" borderId="0" xfId="0" applyNumberFormat="1"/>
    <xf numFmtId="167" fontId="0" fillId="0" borderId="0" xfId="0" applyNumberFormat="1"/>
    <xf numFmtId="0" fontId="0" fillId="6" borderId="0" xfId="0" applyFill="1"/>
    <xf numFmtId="164" fontId="0" fillId="6" borderId="0" xfId="0" applyNumberFormat="1" applyFill="1"/>
    <xf numFmtId="165" fontId="0" fillId="6" borderId="0" xfId="0" applyNumberFormat="1" applyFill="1"/>
    <xf numFmtId="167" fontId="0" fillId="6" borderId="0" xfId="0" applyNumberFormat="1" applyFill="1"/>
    <xf numFmtId="0" fontId="9" fillId="7" borderId="4" xfId="0" applyFont="1" applyFill="1" applyBorder="1"/>
    <xf numFmtId="167" fontId="10" fillId="7" borderId="4" xfId="0" applyNumberFormat="1" applyFont="1" applyFill="1" applyBorder="1" applyAlignment="1">
      <alignment horizontal="center"/>
    </xf>
    <xf numFmtId="165" fontId="11" fillId="8" borderId="4" xfId="0" applyNumberFormat="1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 vertical="center" wrapText="1"/>
    </xf>
    <xf numFmtId="168" fontId="0" fillId="0" borderId="0" xfId="0" applyNumberFormat="1"/>
    <xf numFmtId="0" fontId="12" fillId="10" borderId="4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12" fillId="11" borderId="4" xfId="0" applyFont="1" applyFill="1" applyBorder="1" applyAlignment="1">
      <alignment vertical="center" wrapText="1"/>
    </xf>
    <xf numFmtId="0" fontId="12" fillId="1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OTC-Volumen nach Vertriebskanal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Apotheke</c:v>
          </c:tx>
          <c:spPr>
            <a:solidFill>
              <a:srgbClr val="1E3A5F"/>
            </a:solidFill>
          </c:spPr>
          <c:cat>
            <c:numRef>
              <c:f>Omnichannel!$B$5:$B$64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Omnichannel!$C$5:$C$64</c:f>
              <c:numCache>
                <c:formatCode>General</c:formatCode>
                <c:ptCount val="60"/>
                <c:pt idx="0">
                  <c:v>11413</c:v>
                </c:pt>
                <c:pt idx="1">
                  <c:v>18038</c:v>
                </c:pt>
                <c:pt idx="2">
                  <c:v>23378</c:v>
                </c:pt>
                <c:pt idx="3">
                  <c:v>31567</c:v>
                </c:pt>
                <c:pt idx="4">
                  <c:v>44034</c:v>
                </c:pt>
                <c:pt idx="5">
                  <c:v>59741</c:v>
                </c:pt>
                <c:pt idx="6">
                  <c:v>71605</c:v>
                </c:pt>
                <c:pt idx="7">
                  <c:v>82707</c:v>
                </c:pt>
                <c:pt idx="8">
                  <c:v>92178</c:v>
                </c:pt>
                <c:pt idx="9">
                  <c:v>104777</c:v>
                </c:pt>
                <c:pt idx="10">
                  <c:v>115936</c:v>
                </c:pt>
                <c:pt idx="11">
                  <c:v>131782</c:v>
                </c:pt>
                <c:pt idx="12">
                  <c:v>126170</c:v>
                </c:pt>
                <c:pt idx="13">
                  <c:v>153077</c:v>
                </c:pt>
                <c:pt idx="14">
                  <c:v>150614</c:v>
                </c:pt>
                <c:pt idx="15">
                  <c:v>153937</c:v>
                </c:pt>
                <c:pt idx="16">
                  <c:v>163771</c:v>
                </c:pt>
                <c:pt idx="17">
                  <c:v>172910</c:v>
                </c:pt>
                <c:pt idx="18">
                  <c:v>166148</c:v>
                </c:pt>
                <c:pt idx="19">
                  <c:v>158849</c:v>
                </c:pt>
                <c:pt idx="20">
                  <c:v>151193</c:v>
                </c:pt>
                <c:pt idx="21">
                  <c:v>150954</c:v>
                </c:pt>
                <c:pt idx="22">
                  <c:v>150533</c:v>
                </c:pt>
                <c:pt idx="23">
                  <c:v>157565</c:v>
                </c:pt>
                <c:pt idx="24">
                  <c:v>141770</c:v>
                </c:pt>
                <c:pt idx="25">
                  <c:v>163626</c:v>
                </c:pt>
                <c:pt idx="26">
                  <c:v>155294</c:v>
                </c:pt>
                <c:pt idx="27">
                  <c:v>154436</c:v>
                </c:pt>
                <c:pt idx="28">
                  <c:v>160939</c:v>
                </c:pt>
                <c:pt idx="29">
                  <c:v>167332</c:v>
                </c:pt>
                <c:pt idx="30">
                  <c:v>159023</c:v>
                </c:pt>
                <c:pt idx="31">
                  <c:v>150792</c:v>
                </c:pt>
                <c:pt idx="32">
                  <c:v>142644</c:v>
                </c:pt>
                <c:pt idx="33">
                  <c:v>141746</c:v>
                </c:pt>
                <c:pt idx="34">
                  <c:v>140844</c:v>
                </c:pt>
                <c:pt idx="35">
                  <c:v>147012</c:v>
                </c:pt>
                <c:pt idx="36">
                  <c:v>132007</c:v>
                </c:pt>
                <c:pt idx="37">
                  <c:v>152091</c:v>
                </c:pt>
                <c:pt idx="38">
                  <c:v>144157</c:v>
                </c:pt>
                <c:pt idx="39">
                  <c:v>143204</c:v>
                </c:pt>
                <c:pt idx="40">
                  <c:v>149097</c:v>
                </c:pt>
                <c:pt idx="41">
                  <c:v>154899</c:v>
                </c:pt>
                <c:pt idx="42">
                  <c:v>147103</c:v>
                </c:pt>
                <c:pt idx="43">
                  <c:v>139398</c:v>
                </c:pt>
                <c:pt idx="44">
                  <c:v>131785</c:v>
                </c:pt>
                <c:pt idx="45">
                  <c:v>130881</c:v>
                </c:pt>
                <c:pt idx="46">
                  <c:v>129978</c:v>
                </c:pt>
                <c:pt idx="47">
                  <c:v>135603</c:v>
                </c:pt>
                <c:pt idx="48">
                  <c:v>121693</c:v>
                </c:pt>
                <c:pt idx="49">
                  <c:v>140146</c:v>
                </c:pt>
                <c:pt idx="50">
                  <c:v>132765</c:v>
                </c:pt>
                <c:pt idx="51">
                  <c:v>131821</c:v>
                </c:pt>
                <c:pt idx="52">
                  <c:v>137178</c:v>
                </c:pt>
                <c:pt idx="53">
                  <c:v>142446</c:v>
                </c:pt>
                <c:pt idx="54">
                  <c:v>135204</c:v>
                </c:pt>
                <c:pt idx="55">
                  <c:v>128052</c:v>
                </c:pt>
                <c:pt idx="56">
                  <c:v>120992</c:v>
                </c:pt>
                <c:pt idx="57">
                  <c:v>120098</c:v>
                </c:pt>
                <c:pt idx="58">
                  <c:v>119204</c:v>
                </c:pt>
                <c:pt idx="59">
                  <c:v>124298</c:v>
                </c:pt>
              </c:numCache>
            </c:numRef>
          </c:val>
        </c:ser>
        <c:ser>
          <c:idx val="1"/>
          <c:order val="1"/>
          <c:tx>
            <c:v>Online</c:v>
          </c:tx>
          <c:spPr>
            <a:solidFill>
              <a:srgbClr val="0D9488"/>
            </a:solidFill>
          </c:spPr>
          <c:cat>
            <c:numRef>
              <c:f>Omnichannel!$B$5:$B$64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Omnichannel!$F$5:$F$64</c:f>
              <c:numCache>
                <c:formatCode>General</c:formatCode>
                <c:ptCount val="60"/>
                <c:pt idx="0">
                  <c:v>9669</c:v>
                </c:pt>
                <c:pt idx="1">
                  <c:v>15486</c:v>
                </c:pt>
                <c:pt idx="2">
                  <c:v>20337</c:v>
                </c:pt>
                <c:pt idx="3">
                  <c:v>27826</c:v>
                </c:pt>
                <c:pt idx="4">
                  <c:v>39329</c:v>
                </c:pt>
                <c:pt idx="5">
                  <c:v>54063</c:v>
                </c:pt>
                <c:pt idx="6">
                  <c:v>65652</c:v>
                </c:pt>
                <c:pt idx="7">
                  <c:v>76826</c:v>
                </c:pt>
                <c:pt idx="8">
                  <c:v>86744</c:v>
                </c:pt>
                <c:pt idx="9">
                  <c:v>99887</c:v>
                </c:pt>
                <c:pt idx="10">
                  <c:v>111965</c:v>
                </c:pt>
                <c:pt idx="11">
                  <c:v>128922</c:v>
                </c:pt>
                <c:pt idx="12">
                  <c:v>125032</c:v>
                </c:pt>
                <c:pt idx="13">
                  <c:v>153659</c:v>
                </c:pt>
                <c:pt idx="14">
                  <c:v>153138</c:v>
                </c:pt>
                <c:pt idx="15">
                  <c:v>158532</c:v>
                </c:pt>
                <c:pt idx="16">
                  <c:v>170829</c:v>
                </c:pt>
                <c:pt idx="17">
                  <c:v>182677</c:v>
                </c:pt>
                <c:pt idx="18">
                  <c:v>177781</c:v>
                </c:pt>
                <c:pt idx="19">
                  <c:v>172145</c:v>
                </c:pt>
                <c:pt idx="20">
                  <c:v>165940</c:v>
                </c:pt>
                <c:pt idx="21">
                  <c:v>167791</c:v>
                </c:pt>
                <c:pt idx="22">
                  <c:v>169453</c:v>
                </c:pt>
                <c:pt idx="23">
                  <c:v>179624</c:v>
                </c:pt>
                <c:pt idx="24">
                  <c:v>163670</c:v>
                </c:pt>
                <c:pt idx="25">
                  <c:v>191298</c:v>
                </c:pt>
                <c:pt idx="26">
                  <c:v>183857</c:v>
                </c:pt>
                <c:pt idx="27">
                  <c:v>185156</c:v>
                </c:pt>
                <c:pt idx="28">
                  <c:v>195392</c:v>
                </c:pt>
                <c:pt idx="29">
                  <c:v>205721</c:v>
                </c:pt>
                <c:pt idx="30">
                  <c:v>197973</c:v>
                </c:pt>
                <c:pt idx="31">
                  <c:v>190094</c:v>
                </c:pt>
                <c:pt idx="32">
                  <c:v>182089</c:v>
                </c:pt>
                <c:pt idx="33">
                  <c:v>183222</c:v>
                </c:pt>
                <c:pt idx="34">
                  <c:v>184349</c:v>
                </c:pt>
                <c:pt idx="35">
                  <c:v>194845</c:v>
                </c:pt>
                <c:pt idx="36">
                  <c:v>177159</c:v>
                </c:pt>
                <c:pt idx="37">
                  <c:v>206681</c:v>
                </c:pt>
                <c:pt idx="38">
                  <c:v>198363</c:v>
                </c:pt>
                <c:pt idx="39">
                  <c:v>199531</c:v>
                </c:pt>
                <c:pt idx="40">
                  <c:v>210355</c:v>
                </c:pt>
                <c:pt idx="41">
                  <c:v>221290</c:v>
                </c:pt>
                <c:pt idx="42">
                  <c:v>212796</c:v>
                </c:pt>
                <c:pt idx="43">
                  <c:v>204189</c:v>
                </c:pt>
                <c:pt idx="44">
                  <c:v>195467</c:v>
                </c:pt>
                <c:pt idx="45">
                  <c:v>196571</c:v>
                </c:pt>
                <c:pt idx="46">
                  <c:v>197675</c:v>
                </c:pt>
                <c:pt idx="47">
                  <c:v>208828</c:v>
                </c:pt>
                <c:pt idx="48">
                  <c:v>189771</c:v>
                </c:pt>
                <c:pt idx="49">
                  <c:v>221307</c:v>
                </c:pt>
                <c:pt idx="50">
                  <c:v>212299</c:v>
                </c:pt>
                <c:pt idx="51">
                  <c:v>213455</c:v>
                </c:pt>
                <c:pt idx="52">
                  <c:v>224941</c:v>
                </c:pt>
                <c:pt idx="53">
                  <c:v>236539</c:v>
                </c:pt>
                <c:pt idx="54">
                  <c:v>227360</c:v>
                </c:pt>
                <c:pt idx="55">
                  <c:v>218068</c:v>
                </c:pt>
                <c:pt idx="56">
                  <c:v>208664</c:v>
                </c:pt>
                <c:pt idx="57">
                  <c:v>209759</c:v>
                </c:pt>
                <c:pt idx="58">
                  <c:v>210854</c:v>
                </c:pt>
                <c:pt idx="59">
                  <c:v>222670</c:v>
                </c:pt>
              </c:numCache>
            </c:numRef>
          </c:val>
        </c:ser>
        <c:ser>
          <c:idx val="2"/>
          <c:order val="2"/>
          <c:tx>
            <c:v>Drogerie</c:v>
          </c:tx>
          <c:spPr>
            <a:solidFill>
              <a:srgbClr val="D97706"/>
            </a:solidFill>
          </c:spPr>
          <c:cat>
            <c:numRef>
              <c:f>Omnichannel!$B$5:$B$64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Omnichannel!$I$5:$I$64</c:f>
              <c:numCache>
                <c:formatCode>General</c:formatCode>
                <c:ptCount val="60"/>
                <c:pt idx="0">
                  <c:v>2244</c:v>
                </c:pt>
                <c:pt idx="1">
                  <c:v>3594</c:v>
                </c:pt>
                <c:pt idx="2">
                  <c:v>4719</c:v>
                </c:pt>
                <c:pt idx="3">
                  <c:v>6457</c:v>
                </c:pt>
                <c:pt idx="4">
                  <c:v>9127</c:v>
                </c:pt>
                <c:pt idx="5">
                  <c:v>12546</c:v>
                </c:pt>
                <c:pt idx="6">
                  <c:v>15235</c:v>
                </c:pt>
                <c:pt idx="7">
                  <c:v>17828</c:v>
                </c:pt>
                <c:pt idx="8">
                  <c:v>20130</c:v>
                </c:pt>
                <c:pt idx="9">
                  <c:v>23180</c:v>
                </c:pt>
                <c:pt idx="10">
                  <c:v>25982</c:v>
                </c:pt>
                <c:pt idx="11">
                  <c:v>29917</c:v>
                </c:pt>
                <c:pt idx="12">
                  <c:v>29015</c:v>
                </c:pt>
                <c:pt idx="13">
                  <c:v>35658</c:v>
                </c:pt>
                <c:pt idx="14">
                  <c:v>35537</c:v>
                </c:pt>
                <c:pt idx="15">
                  <c:v>36789</c:v>
                </c:pt>
                <c:pt idx="16">
                  <c:v>39642</c:v>
                </c:pt>
                <c:pt idx="17">
                  <c:v>42392</c:v>
                </c:pt>
                <c:pt idx="18">
                  <c:v>41255</c:v>
                </c:pt>
                <c:pt idx="19">
                  <c:v>39948</c:v>
                </c:pt>
                <c:pt idx="20">
                  <c:v>38508</c:v>
                </c:pt>
                <c:pt idx="21">
                  <c:v>38937</c:v>
                </c:pt>
                <c:pt idx="22">
                  <c:v>39323</c:v>
                </c:pt>
                <c:pt idx="23">
                  <c:v>41683</c:v>
                </c:pt>
                <c:pt idx="24">
                  <c:v>37981</c:v>
                </c:pt>
                <c:pt idx="25">
                  <c:v>44392</c:v>
                </c:pt>
                <c:pt idx="26">
                  <c:v>42665</c:v>
                </c:pt>
                <c:pt idx="27">
                  <c:v>42967</c:v>
                </c:pt>
                <c:pt idx="28">
                  <c:v>45342</c:v>
                </c:pt>
                <c:pt idx="29">
                  <c:v>47739</c:v>
                </c:pt>
                <c:pt idx="30">
                  <c:v>45941</c:v>
                </c:pt>
                <c:pt idx="31">
                  <c:v>44113</c:v>
                </c:pt>
                <c:pt idx="32">
                  <c:v>42255</c:v>
                </c:pt>
                <c:pt idx="33">
                  <c:v>42518</c:v>
                </c:pt>
                <c:pt idx="34">
                  <c:v>42780</c:v>
                </c:pt>
                <c:pt idx="35">
                  <c:v>45215</c:v>
                </c:pt>
                <c:pt idx="36">
                  <c:v>41111</c:v>
                </c:pt>
                <c:pt idx="37">
                  <c:v>47962</c:v>
                </c:pt>
                <c:pt idx="38">
                  <c:v>46032</c:v>
                </c:pt>
                <c:pt idx="39">
                  <c:v>46303</c:v>
                </c:pt>
                <c:pt idx="40">
                  <c:v>48814</c:v>
                </c:pt>
                <c:pt idx="41">
                  <c:v>51352</c:v>
                </c:pt>
                <c:pt idx="42">
                  <c:v>49381</c:v>
                </c:pt>
                <c:pt idx="43">
                  <c:v>47383</c:v>
                </c:pt>
                <c:pt idx="44">
                  <c:v>45360</c:v>
                </c:pt>
                <c:pt idx="45">
                  <c:v>45616</c:v>
                </c:pt>
                <c:pt idx="46">
                  <c:v>45872</c:v>
                </c:pt>
                <c:pt idx="47">
                  <c:v>48460</c:v>
                </c:pt>
                <c:pt idx="48">
                  <c:v>44038</c:v>
                </c:pt>
                <c:pt idx="49">
                  <c:v>51356</c:v>
                </c:pt>
                <c:pt idx="50">
                  <c:v>49266</c:v>
                </c:pt>
                <c:pt idx="51">
                  <c:v>49534</c:v>
                </c:pt>
                <c:pt idx="52">
                  <c:v>52199</c:v>
                </c:pt>
                <c:pt idx="53">
                  <c:v>54891</c:v>
                </c:pt>
                <c:pt idx="54">
                  <c:v>52761</c:v>
                </c:pt>
                <c:pt idx="55">
                  <c:v>50604</c:v>
                </c:pt>
                <c:pt idx="56">
                  <c:v>48422</c:v>
                </c:pt>
                <c:pt idx="57">
                  <c:v>48676</c:v>
                </c:pt>
                <c:pt idx="58">
                  <c:v>48930</c:v>
                </c:pt>
                <c:pt idx="59">
                  <c:v>51672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Packungen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Dual-Kanal: Rx vs. OTC Packungen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 Packungen</c:v>
          </c:tx>
          <c:spPr>
            <a:ln w="31750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Forecast!$C$9:$C$68</c:f>
              <c:numCache>
                <c:formatCode>General</c:formatCode>
                <c:ptCount val="60"/>
                <c:pt idx="0">
                  <c:v>216960</c:v>
                </c:pt>
                <c:pt idx="1">
                  <c:v>216920</c:v>
                </c:pt>
                <c:pt idx="2">
                  <c:v>216880</c:v>
                </c:pt>
                <c:pt idx="3">
                  <c:v>216840</c:v>
                </c:pt>
                <c:pt idx="4">
                  <c:v>216800</c:v>
                </c:pt>
                <c:pt idx="5">
                  <c:v>216760</c:v>
                </c:pt>
                <c:pt idx="6">
                  <c:v>216721</c:v>
                </c:pt>
                <c:pt idx="7">
                  <c:v>216681</c:v>
                </c:pt>
                <c:pt idx="8">
                  <c:v>216642</c:v>
                </c:pt>
                <c:pt idx="9">
                  <c:v>216603</c:v>
                </c:pt>
                <c:pt idx="10">
                  <c:v>216563</c:v>
                </c:pt>
                <c:pt idx="11">
                  <c:v>216524</c:v>
                </c:pt>
                <c:pt idx="12">
                  <c:v>216485</c:v>
                </c:pt>
                <c:pt idx="13">
                  <c:v>216446</c:v>
                </c:pt>
                <c:pt idx="14">
                  <c:v>216407</c:v>
                </c:pt>
                <c:pt idx="15">
                  <c:v>216368</c:v>
                </c:pt>
                <c:pt idx="16">
                  <c:v>216330</c:v>
                </c:pt>
                <c:pt idx="17">
                  <c:v>216291</c:v>
                </c:pt>
                <c:pt idx="18">
                  <c:v>216253</c:v>
                </c:pt>
                <c:pt idx="19">
                  <c:v>216214</c:v>
                </c:pt>
                <c:pt idx="20">
                  <c:v>216176</c:v>
                </c:pt>
                <c:pt idx="21">
                  <c:v>216138</c:v>
                </c:pt>
                <c:pt idx="22">
                  <c:v>216099</c:v>
                </c:pt>
                <c:pt idx="23">
                  <c:v>216061</c:v>
                </c:pt>
                <c:pt idx="24">
                  <c:v>216023</c:v>
                </c:pt>
                <c:pt idx="25">
                  <c:v>215985</c:v>
                </c:pt>
                <c:pt idx="26">
                  <c:v>215948</c:v>
                </c:pt>
                <c:pt idx="27">
                  <c:v>215910</c:v>
                </c:pt>
                <c:pt idx="28">
                  <c:v>215872</c:v>
                </c:pt>
                <c:pt idx="29">
                  <c:v>215835</c:v>
                </c:pt>
                <c:pt idx="30">
                  <c:v>215797</c:v>
                </c:pt>
                <c:pt idx="31">
                  <c:v>215760</c:v>
                </c:pt>
                <c:pt idx="32">
                  <c:v>215723</c:v>
                </c:pt>
                <c:pt idx="33">
                  <c:v>215685</c:v>
                </c:pt>
                <c:pt idx="34">
                  <c:v>215648</c:v>
                </c:pt>
                <c:pt idx="35">
                  <c:v>215611</c:v>
                </c:pt>
                <c:pt idx="36">
                  <c:v>215574</c:v>
                </c:pt>
                <c:pt idx="37">
                  <c:v>215537</c:v>
                </c:pt>
                <c:pt idx="38">
                  <c:v>215501</c:v>
                </c:pt>
                <c:pt idx="39">
                  <c:v>215464</c:v>
                </c:pt>
                <c:pt idx="40">
                  <c:v>215427</c:v>
                </c:pt>
                <c:pt idx="41">
                  <c:v>215391</c:v>
                </c:pt>
                <c:pt idx="42">
                  <c:v>215354</c:v>
                </c:pt>
                <c:pt idx="43">
                  <c:v>215318</c:v>
                </c:pt>
                <c:pt idx="44">
                  <c:v>215282</c:v>
                </c:pt>
                <c:pt idx="45">
                  <c:v>215246</c:v>
                </c:pt>
                <c:pt idx="46">
                  <c:v>215209</c:v>
                </c:pt>
                <c:pt idx="47">
                  <c:v>215173</c:v>
                </c:pt>
                <c:pt idx="48">
                  <c:v>215137</c:v>
                </c:pt>
                <c:pt idx="49">
                  <c:v>215102</c:v>
                </c:pt>
                <c:pt idx="50">
                  <c:v>215066</c:v>
                </c:pt>
                <c:pt idx="51">
                  <c:v>215030</c:v>
                </c:pt>
                <c:pt idx="52">
                  <c:v>214995</c:v>
                </c:pt>
                <c:pt idx="53">
                  <c:v>214959</c:v>
                </c:pt>
                <c:pt idx="54">
                  <c:v>214924</c:v>
                </c:pt>
                <c:pt idx="55">
                  <c:v>214888</c:v>
                </c:pt>
                <c:pt idx="56">
                  <c:v>214853</c:v>
                </c:pt>
                <c:pt idx="57">
                  <c:v>214818</c:v>
                </c:pt>
                <c:pt idx="58">
                  <c:v>214783</c:v>
                </c:pt>
                <c:pt idx="59">
                  <c:v>214748</c:v>
                </c:pt>
              </c:numCache>
            </c:numRef>
          </c:val>
        </c:ser>
        <c:ser>
          <c:idx val="1"/>
          <c:order val="1"/>
          <c:tx>
            <c:v>OTC Packungen</c:v>
          </c:tx>
          <c:spPr>
            <a:ln w="31750">
              <a:solidFill>
                <a:srgbClr val="0D9488"/>
              </a:solidFill>
            </a:ln>
          </c:spPr>
          <c:marker>
            <c:symbol val="none"/>
          </c:marke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Forecast!$E$9:$E$68</c:f>
              <c:numCache>
                <c:formatCode>General</c:formatCode>
                <c:ptCount val="60"/>
                <c:pt idx="0">
                  <c:v>23326</c:v>
                </c:pt>
                <c:pt idx="1">
                  <c:v>37118</c:v>
                </c:pt>
                <c:pt idx="2">
                  <c:v>48434</c:v>
                </c:pt>
                <c:pt idx="3">
                  <c:v>65850</c:v>
                </c:pt>
                <c:pt idx="4">
                  <c:v>92490</c:v>
                </c:pt>
                <c:pt idx="5">
                  <c:v>126350</c:v>
                </c:pt>
                <c:pt idx="6">
                  <c:v>152492</c:v>
                </c:pt>
                <c:pt idx="7">
                  <c:v>177361</c:v>
                </c:pt>
                <c:pt idx="8">
                  <c:v>199052</c:v>
                </c:pt>
                <c:pt idx="9">
                  <c:v>227844</c:v>
                </c:pt>
                <c:pt idx="10">
                  <c:v>253883</c:v>
                </c:pt>
                <c:pt idx="11">
                  <c:v>290621</c:v>
                </c:pt>
                <c:pt idx="12">
                  <c:v>280217</c:v>
                </c:pt>
                <c:pt idx="13">
                  <c:v>342394</c:v>
                </c:pt>
                <c:pt idx="14">
                  <c:v>339289</c:v>
                </c:pt>
                <c:pt idx="15">
                  <c:v>349258</c:v>
                </c:pt>
                <c:pt idx="16">
                  <c:v>374242</c:v>
                </c:pt>
                <c:pt idx="17">
                  <c:v>397979</c:v>
                </c:pt>
                <c:pt idx="18">
                  <c:v>385184</c:v>
                </c:pt>
                <c:pt idx="19">
                  <c:v>370942</c:v>
                </c:pt>
                <c:pt idx="20">
                  <c:v>355641</c:v>
                </c:pt>
                <c:pt idx="21">
                  <c:v>357682</c:v>
                </c:pt>
                <c:pt idx="22">
                  <c:v>359309</c:v>
                </c:pt>
                <c:pt idx="23">
                  <c:v>378872</c:v>
                </c:pt>
                <c:pt idx="24">
                  <c:v>343421</c:v>
                </c:pt>
                <c:pt idx="25">
                  <c:v>399316</c:v>
                </c:pt>
                <c:pt idx="26">
                  <c:v>381816</c:v>
                </c:pt>
                <c:pt idx="27">
                  <c:v>382559</c:v>
                </c:pt>
                <c:pt idx="28">
                  <c:v>401673</c:v>
                </c:pt>
                <c:pt idx="29">
                  <c:v>420792</c:v>
                </c:pt>
                <c:pt idx="30">
                  <c:v>402937</c:v>
                </c:pt>
                <c:pt idx="31">
                  <c:v>384999</c:v>
                </c:pt>
                <c:pt idx="32">
                  <c:v>366988</c:v>
                </c:pt>
                <c:pt idx="33">
                  <c:v>367486</c:v>
                </c:pt>
                <c:pt idx="34">
                  <c:v>367973</c:v>
                </c:pt>
                <c:pt idx="35">
                  <c:v>387072</c:v>
                </c:pt>
                <c:pt idx="36">
                  <c:v>350277</c:v>
                </c:pt>
                <c:pt idx="37">
                  <c:v>406734</c:v>
                </c:pt>
                <c:pt idx="38">
                  <c:v>388552</c:v>
                </c:pt>
                <c:pt idx="39">
                  <c:v>389038</c:v>
                </c:pt>
                <c:pt idx="40">
                  <c:v>408266</c:v>
                </c:pt>
                <c:pt idx="41">
                  <c:v>427541</c:v>
                </c:pt>
                <c:pt idx="42">
                  <c:v>409280</c:v>
                </c:pt>
                <c:pt idx="43">
                  <c:v>390970</c:v>
                </c:pt>
                <c:pt idx="44">
                  <c:v>372612</c:v>
                </c:pt>
                <c:pt idx="45">
                  <c:v>373068</c:v>
                </c:pt>
                <c:pt idx="46">
                  <c:v>373525</c:v>
                </c:pt>
                <c:pt idx="47">
                  <c:v>392891</c:v>
                </c:pt>
                <c:pt idx="48">
                  <c:v>355502</c:v>
                </c:pt>
                <c:pt idx="49">
                  <c:v>412809</c:v>
                </c:pt>
                <c:pt idx="50">
                  <c:v>394330</c:v>
                </c:pt>
                <c:pt idx="51">
                  <c:v>394810</c:v>
                </c:pt>
                <c:pt idx="52">
                  <c:v>414318</c:v>
                </c:pt>
                <c:pt idx="53">
                  <c:v>433876</c:v>
                </c:pt>
                <c:pt idx="54">
                  <c:v>415325</c:v>
                </c:pt>
                <c:pt idx="55">
                  <c:v>396724</c:v>
                </c:pt>
                <c:pt idx="56">
                  <c:v>378078</c:v>
                </c:pt>
                <c:pt idx="57">
                  <c:v>378533</c:v>
                </c:pt>
                <c:pt idx="58">
                  <c:v>378988</c:v>
                </c:pt>
                <c:pt idx="59">
                  <c:v>398640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Packungen / Monat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OTC: Viagra Connect vs. Generika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Viagra Connect</c:v>
          </c:tx>
          <c:spPr>
            <a:solidFill>
              <a:srgbClr val="1E40AF"/>
            </a:solidFill>
          </c:spP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Forecast!$I$9:$I$68</c:f>
              <c:numCache>
                <c:formatCode>General</c:formatCode>
                <c:ptCount val="60"/>
                <c:pt idx="0">
                  <c:v>10438</c:v>
                </c:pt>
                <c:pt idx="1">
                  <c:v>16518</c:v>
                </c:pt>
                <c:pt idx="2">
                  <c:v>21432</c:v>
                </c:pt>
                <c:pt idx="3">
                  <c:v>28974</c:v>
                </c:pt>
                <c:pt idx="4">
                  <c:v>40464</c:v>
                </c:pt>
                <c:pt idx="5">
                  <c:v>54962</c:v>
                </c:pt>
                <c:pt idx="6">
                  <c:v>65953</c:v>
                </c:pt>
                <c:pt idx="7">
                  <c:v>76265</c:v>
                </c:pt>
                <c:pt idx="8">
                  <c:v>85095</c:v>
                </c:pt>
                <c:pt idx="9">
                  <c:v>96834</c:v>
                </c:pt>
                <c:pt idx="10">
                  <c:v>107266</c:v>
                </c:pt>
                <c:pt idx="11">
                  <c:v>122061</c:v>
                </c:pt>
                <c:pt idx="12">
                  <c:v>116991</c:v>
                </c:pt>
                <c:pt idx="13">
                  <c:v>142094</c:v>
                </c:pt>
                <c:pt idx="14">
                  <c:v>139957</c:v>
                </c:pt>
                <c:pt idx="15">
                  <c:v>143196</c:v>
                </c:pt>
                <c:pt idx="16">
                  <c:v>152504</c:v>
                </c:pt>
                <c:pt idx="17">
                  <c:v>161181</c:v>
                </c:pt>
                <c:pt idx="18">
                  <c:v>155037</c:v>
                </c:pt>
                <c:pt idx="19">
                  <c:v>148377</c:v>
                </c:pt>
                <c:pt idx="20">
                  <c:v>141367</c:v>
                </c:pt>
                <c:pt idx="21">
                  <c:v>141284</c:v>
                </c:pt>
                <c:pt idx="22">
                  <c:v>141029</c:v>
                </c:pt>
                <c:pt idx="23">
                  <c:v>147760</c:v>
                </c:pt>
                <c:pt idx="24">
                  <c:v>133076</c:v>
                </c:pt>
                <c:pt idx="25">
                  <c:v>153737</c:v>
                </c:pt>
                <c:pt idx="26">
                  <c:v>146045</c:v>
                </c:pt>
                <c:pt idx="27">
                  <c:v>145372</c:v>
                </c:pt>
                <c:pt idx="28">
                  <c:v>151632</c:v>
                </c:pt>
                <c:pt idx="29">
                  <c:v>157797</c:v>
                </c:pt>
                <c:pt idx="30">
                  <c:v>150094</c:v>
                </c:pt>
                <c:pt idx="31">
                  <c:v>142450</c:v>
                </c:pt>
                <c:pt idx="32">
                  <c:v>134868</c:v>
                </c:pt>
                <c:pt idx="33">
                  <c:v>134132</c:v>
                </c:pt>
                <c:pt idx="34">
                  <c:v>133390</c:v>
                </c:pt>
                <c:pt idx="35">
                  <c:v>139346</c:v>
                </c:pt>
                <c:pt idx="36">
                  <c:v>125224</c:v>
                </c:pt>
                <c:pt idx="37">
                  <c:v>144391</c:v>
                </c:pt>
                <c:pt idx="38">
                  <c:v>136965</c:v>
                </c:pt>
                <c:pt idx="39">
                  <c:v>136163</c:v>
                </c:pt>
                <c:pt idx="40">
                  <c:v>141872</c:v>
                </c:pt>
                <c:pt idx="41">
                  <c:v>147502</c:v>
                </c:pt>
                <c:pt idx="42">
                  <c:v>140178</c:v>
                </c:pt>
                <c:pt idx="43">
                  <c:v>132930</c:v>
                </c:pt>
                <c:pt idx="44">
                  <c:v>125757</c:v>
                </c:pt>
                <c:pt idx="45">
                  <c:v>124978</c:v>
                </c:pt>
                <c:pt idx="46">
                  <c:v>124197</c:v>
                </c:pt>
                <c:pt idx="47">
                  <c:v>129654</c:v>
                </c:pt>
                <c:pt idx="48">
                  <c:v>116427</c:v>
                </c:pt>
                <c:pt idx="49">
                  <c:v>134163</c:v>
                </c:pt>
                <c:pt idx="50">
                  <c:v>127171</c:v>
                </c:pt>
                <c:pt idx="51">
                  <c:v>126339</c:v>
                </c:pt>
                <c:pt idx="52">
                  <c:v>131546</c:v>
                </c:pt>
                <c:pt idx="53">
                  <c:v>136671</c:v>
                </c:pt>
                <c:pt idx="54">
                  <c:v>129789</c:v>
                </c:pt>
                <c:pt idx="55">
                  <c:v>122984</c:v>
                </c:pt>
                <c:pt idx="56">
                  <c:v>116259</c:v>
                </c:pt>
                <c:pt idx="57">
                  <c:v>115453</c:v>
                </c:pt>
                <c:pt idx="58">
                  <c:v>114644</c:v>
                </c:pt>
                <c:pt idx="59">
                  <c:v>119592</c:v>
                </c:pt>
              </c:numCache>
            </c:numRef>
          </c:val>
        </c:ser>
        <c:ser>
          <c:idx val="1"/>
          <c:order val="1"/>
          <c:tx>
            <c:v>Generika OTC</c:v>
          </c:tx>
          <c:spPr>
            <a:solidFill>
              <a:srgbClr val="94A3B8"/>
            </a:solidFill>
          </c:spP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Forecast!$J$9:$J$68</c:f>
              <c:numCache>
                <c:formatCode>General</c:formatCode>
                <c:ptCount val="60"/>
                <c:pt idx="0">
                  <c:v>12888</c:v>
                </c:pt>
                <c:pt idx="1">
                  <c:v>20600</c:v>
                </c:pt>
                <c:pt idx="2">
                  <c:v>27002</c:v>
                </c:pt>
                <c:pt idx="3">
                  <c:v>36876</c:v>
                </c:pt>
                <c:pt idx="4">
                  <c:v>52026</c:v>
                </c:pt>
                <c:pt idx="5">
                  <c:v>71388</c:v>
                </c:pt>
                <c:pt idx="6">
                  <c:v>86539</c:v>
                </c:pt>
                <c:pt idx="7">
                  <c:v>101096</c:v>
                </c:pt>
                <c:pt idx="8">
                  <c:v>113957</c:v>
                </c:pt>
                <c:pt idx="9">
                  <c:v>131010</c:v>
                </c:pt>
                <c:pt idx="10">
                  <c:v>146617</c:v>
                </c:pt>
                <c:pt idx="11">
                  <c:v>168560</c:v>
                </c:pt>
                <c:pt idx="12">
                  <c:v>163226</c:v>
                </c:pt>
                <c:pt idx="13">
                  <c:v>200300</c:v>
                </c:pt>
                <c:pt idx="14">
                  <c:v>199332</c:v>
                </c:pt>
                <c:pt idx="15">
                  <c:v>206062</c:v>
                </c:pt>
                <c:pt idx="16">
                  <c:v>221738</c:v>
                </c:pt>
                <c:pt idx="17">
                  <c:v>236798</c:v>
                </c:pt>
                <c:pt idx="18">
                  <c:v>230147</c:v>
                </c:pt>
                <c:pt idx="19">
                  <c:v>222565</c:v>
                </c:pt>
                <c:pt idx="20">
                  <c:v>214274</c:v>
                </c:pt>
                <c:pt idx="21">
                  <c:v>216398</c:v>
                </c:pt>
                <c:pt idx="22">
                  <c:v>218280</c:v>
                </c:pt>
                <c:pt idx="23">
                  <c:v>231112</c:v>
                </c:pt>
                <c:pt idx="24">
                  <c:v>210345</c:v>
                </c:pt>
                <c:pt idx="25">
                  <c:v>245579</c:v>
                </c:pt>
                <c:pt idx="26">
                  <c:v>235771</c:v>
                </c:pt>
                <c:pt idx="27">
                  <c:v>237187</c:v>
                </c:pt>
                <c:pt idx="28">
                  <c:v>250041</c:v>
                </c:pt>
                <c:pt idx="29">
                  <c:v>262995</c:v>
                </c:pt>
                <c:pt idx="30">
                  <c:v>252843</c:v>
                </c:pt>
                <c:pt idx="31">
                  <c:v>242549</c:v>
                </c:pt>
                <c:pt idx="32">
                  <c:v>232120</c:v>
                </c:pt>
                <c:pt idx="33">
                  <c:v>233354</c:v>
                </c:pt>
                <c:pt idx="34">
                  <c:v>234583</c:v>
                </c:pt>
                <c:pt idx="35">
                  <c:v>247726</c:v>
                </c:pt>
                <c:pt idx="36">
                  <c:v>225053</c:v>
                </c:pt>
                <c:pt idx="37">
                  <c:v>262343</c:v>
                </c:pt>
                <c:pt idx="38">
                  <c:v>251587</c:v>
                </c:pt>
                <c:pt idx="39">
                  <c:v>252875</c:v>
                </c:pt>
                <c:pt idx="40">
                  <c:v>266394</c:v>
                </c:pt>
                <c:pt idx="41">
                  <c:v>280039</c:v>
                </c:pt>
                <c:pt idx="42">
                  <c:v>269102</c:v>
                </c:pt>
                <c:pt idx="43">
                  <c:v>258040</c:v>
                </c:pt>
                <c:pt idx="44">
                  <c:v>246855</c:v>
                </c:pt>
                <c:pt idx="45">
                  <c:v>248090</c:v>
                </c:pt>
                <c:pt idx="46">
                  <c:v>249328</c:v>
                </c:pt>
                <c:pt idx="47">
                  <c:v>263237</c:v>
                </c:pt>
                <c:pt idx="48">
                  <c:v>239075</c:v>
                </c:pt>
                <c:pt idx="49">
                  <c:v>278646</c:v>
                </c:pt>
                <c:pt idx="50">
                  <c:v>267159</c:v>
                </c:pt>
                <c:pt idx="51">
                  <c:v>268471</c:v>
                </c:pt>
                <c:pt idx="52">
                  <c:v>282772</c:v>
                </c:pt>
                <c:pt idx="53">
                  <c:v>297205</c:v>
                </c:pt>
                <c:pt idx="54">
                  <c:v>285536</c:v>
                </c:pt>
                <c:pt idx="55">
                  <c:v>273740</c:v>
                </c:pt>
                <c:pt idx="56">
                  <c:v>261819</c:v>
                </c:pt>
                <c:pt idx="57">
                  <c:v>263080</c:v>
                </c:pt>
                <c:pt idx="58">
                  <c:v>264344</c:v>
                </c:pt>
                <c:pt idx="59">
                  <c:v>279048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Packungen / Monat</a:t>
                </a:r>
              </a:p>
            </c:rich>
          </c:tx>
          <c:layout/>
        </c:title>
        <c:numFmt formatCode="#,##0" sourceLinked="0"/>
        <c:tickLblPos val="nextTo"/>
        <c:crossAx val="500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65</xdr:row>
      <xdr:rowOff>0</xdr:rowOff>
    </xdr:from>
    <xdr:to>
      <xdr:col>8</xdr:col>
      <xdr:colOff>885825</xdr:colOff>
      <xdr:row>84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69</xdr:row>
      <xdr:rowOff>0</xdr:rowOff>
    </xdr:from>
    <xdr:to>
      <xdr:col>8</xdr:col>
      <xdr:colOff>885825</xdr:colOff>
      <xdr:row>88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16</xdr:col>
      <xdr:colOff>752475</xdr:colOff>
      <xdr:row>88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B800"/>
  </sheetPr>
  <dimension ref="B2:E56"/>
  <sheetViews>
    <sheetView showGridLines="0" tabSelected="1" workbookViewId="0"/>
  </sheetViews>
  <sheetFormatPr defaultRowHeight="15"/>
  <cols>
    <col min="1" max="1" width="3.7109375" customWidth="1"/>
    <col min="2" max="2" width="44.7109375" customWidth="1"/>
    <col min="3" max="3" width="18.7109375" customWidth="1"/>
    <col min="4" max="4" width="55.7109375" customWidth="1"/>
  </cols>
  <sheetData>
    <row r="2" spans="2:4">
      <c r="B2" s="1" t="s">
        <v>0</v>
      </c>
      <c r="C2" s="1"/>
      <c r="D2" s="1"/>
    </row>
    <row r="3" spans="2:4">
      <c r="B3" s="2" t="s">
        <v>1</v>
      </c>
      <c r="C3" s="2"/>
      <c r="D3" s="2"/>
    </row>
    <row r="5" spans="2:4">
      <c r="B5" s="3" t="s">
        <v>2</v>
      </c>
      <c r="C5" s="3"/>
      <c r="D5" s="3"/>
    </row>
    <row r="6" spans="2:4">
      <c r="B6" s="4" t="s">
        <v>3</v>
      </c>
      <c r="C6" s="5" t="s">
        <v>4</v>
      </c>
      <c r="D6" s="6" t="s">
        <v>5</v>
      </c>
    </row>
    <row r="7" spans="2:4">
      <c r="B7" s="4" t="s">
        <v>6</v>
      </c>
      <c r="C7" s="5" t="s">
        <v>7</v>
      </c>
      <c r="D7" s="6" t="s">
        <v>8</v>
      </c>
    </row>
    <row r="8" spans="2:4">
      <c r="B8" s="4" t="s">
        <v>9</v>
      </c>
      <c r="C8" s="5" t="s">
        <v>10</v>
      </c>
      <c r="D8" s="6" t="s">
        <v>11</v>
      </c>
    </row>
    <row r="9" spans="2:4">
      <c r="B9" s="4" t="s">
        <v>12</v>
      </c>
      <c r="C9" s="5" t="s">
        <v>13</v>
      </c>
      <c r="D9" s="6" t="s">
        <v>14</v>
      </c>
    </row>
    <row r="10" spans="2:4">
      <c r="B10" s="4" t="s">
        <v>15</v>
      </c>
      <c r="C10" s="7">
        <v>5000000</v>
      </c>
      <c r="D10" s="6" t="s">
        <v>16</v>
      </c>
    </row>
    <row r="11" spans="2:4">
      <c r="B11" s="4" t="s">
        <v>17</v>
      </c>
      <c r="C11" s="8">
        <v>0.33</v>
      </c>
      <c r="D11" s="6" t="s">
        <v>18</v>
      </c>
    </row>
    <row r="12" spans="2:4">
      <c r="B12" s="4" t="s">
        <v>19</v>
      </c>
      <c r="C12" s="7">
        <v>3350000</v>
      </c>
      <c r="D12" s="6" t="s">
        <v>20</v>
      </c>
    </row>
    <row r="14" spans="2:4">
      <c r="B14" s="3" t="s">
        <v>21</v>
      </c>
      <c r="C14" s="3"/>
      <c r="D14" s="3"/>
    </row>
    <row r="15" spans="2:4">
      <c r="B15" s="4" t="s">
        <v>22</v>
      </c>
      <c r="C15" s="7">
        <v>217000</v>
      </c>
      <c r="D15" s="6" t="s">
        <v>23</v>
      </c>
    </row>
    <row r="16" spans="2:4">
      <c r="B16" s="4" t="s">
        <v>24</v>
      </c>
      <c r="C16" s="9">
        <v>11.19</v>
      </c>
      <c r="D16" s="6" t="s">
        <v>25</v>
      </c>
    </row>
    <row r="17" spans="2:4">
      <c r="B17" s="4" t="s">
        <v>26</v>
      </c>
      <c r="C17" s="9">
        <v>1.5</v>
      </c>
      <c r="D17" s="6" t="s">
        <v>27</v>
      </c>
    </row>
    <row r="18" spans="2:4">
      <c r="B18" s="4" t="s">
        <v>28</v>
      </c>
      <c r="C18" s="8">
        <v>0.1</v>
      </c>
      <c r="D18" s="6" t="s">
        <v>29</v>
      </c>
    </row>
    <row r="19" spans="2:4">
      <c r="B19" s="4" t="s">
        <v>30</v>
      </c>
      <c r="C19" s="8">
        <v>0.08</v>
      </c>
      <c r="D19" s="6" t="s">
        <v>31</v>
      </c>
    </row>
    <row r="20" spans="2:4">
      <c r="B20" s="4" t="s">
        <v>32</v>
      </c>
      <c r="C20" s="5" t="s">
        <v>33</v>
      </c>
      <c r="D20" s="6" t="s">
        <v>34</v>
      </c>
    </row>
    <row r="22" spans="2:4">
      <c r="B22" s="3" t="s">
        <v>35</v>
      </c>
      <c r="C22" s="3"/>
      <c r="D22" s="3"/>
    </row>
    <row r="23" spans="2:4">
      <c r="B23" s="4" t="s">
        <v>36</v>
      </c>
      <c r="C23" s="9">
        <v>5.99</v>
      </c>
      <c r="D23" s="6" t="s">
        <v>37</v>
      </c>
    </row>
    <row r="24" spans="2:4">
      <c r="B24" s="4" t="s">
        <v>38</v>
      </c>
      <c r="C24" s="7">
        <v>350000</v>
      </c>
      <c r="D24" s="6" t="s">
        <v>39</v>
      </c>
    </row>
    <row r="25" spans="2:4">
      <c r="B25" s="4" t="s">
        <v>40</v>
      </c>
      <c r="C25" s="7">
        <v>18</v>
      </c>
      <c r="D25" s="6" t="s">
        <v>41</v>
      </c>
    </row>
    <row r="26" spans="2:4">
      <c r="B26" s="4" t="s">
        <v>42</v>
      </c>
      <c r="C26" s="8">
        <v>0.63</v>
      </c>
      <c r="D26" s="6" t="s">
        <v>43</v>
      </c>
    </row>
    <row r="27" spans="2:4">
      <c r="B27" s="4" t="s">
        <v>44</v>
      </c>
      <c r="C27" s="9">
        <v>-0.5</v>
      </c>
      <c r="D27" s="6" t="s">
        <v>45</v>
      </c>
    </row>
    <row r="28" spans="2:4">
      <c r="B28" s="4" t="s">
        <v>46</v>
      </c>
      <c r="C28" s="8">
        <v>-0.03</v>
      </c>
      <c r="D28" s="6" t="s">
        <v>47</v>
      </c>
    </row>
    <row r="30" spans="2:4">
      <c r="B30" s="3" t="s">
        <v>48</v>
      </c>
      <c r="C30" s="3"/>
      <c r="D30" s="3"/>
    </row>
    <row r="31" spans="2:4">
      <c r="B31" s="4" t="s">
        <v>49</v>
      </c>
      <c r="C31" s="8">
        <v>0.5</v>
      </c>
      <c r="D31" s="6" t="s">
        <v>50</v>
      </c>
    </row>
    <row r="32" spans="2:4">
      <c r="B32" s="4" t="s">
        <v>51</v>
      </c>
      <c r="C32" s="8">
        <v>0.4</v>
      </c>
      <c r="D32" s="6" t="s">
        <v>52</v>
      </c>
    </row>
    <row r="33" spans="2:4">
      <c r="B33" s="4" t="s">
        <v>53</v>
      </c>
      <c r="C33" s="8">
        <v>0.1</v>
      </c>
      <c r="D33" s="6" t="s">
        <v>54</v>
      </c>
    </row>
    <row r="34" spans="2:4">
      <c r="B34" s="4" t="s">
        <v>55</v>
      </c>
      <c r="C34" s="8">
        <v>0.04</v>
      </c>
      <c r="D34" s="6" t="s">
        <v>56</v>
      </c>
    </row>
    <row r="35" spans="2:4">
      <c r="B35" s="4" t="s">
        <v>57</v>
      </c>
      <c r="C35" s="8">
        <v>0.42</v>
      </c>
      <c r="D35" s="6" t="s">
        <v>58</v>
      </c>
    </row>
    <row r="36" spans="2:4">
      <c r="B36" s="4" t="s">
        <v>59</v>
      </c>
      <c r="C36" s="8">
        <v>0.3</v>
      </c>
      <c r="D36" s="6" t="s">
        <v>60</v>
      </c>
    </row>
    <row r="38" spans="2:4">
      <c r="B38" s="3" t="s">
        <v>61</v>
      </c>
      <c r="C38" s="3"/>
      <c r="D38" s="3"/>
    </row>
    <row r="39" spans="2:4">
      <c r="B39" s="4" t="s">
        <v>62</v>
      </c>
      <c r="C39" s="8">
        <v>0.45</v>
      </c>
      <c r="D39" s="6" t="s">
        <v>63</v>
      </c>
    </row>
    <row r="40" spans="2:4">
      <c r="B40" s="4" t="s">
        <v>64</v>
      </c>
      <c r="C40" s="8">
        <v>-0.03</v>
      </c>
      <c r="D40" s="6" t="s">
        <v>65</v>
      </c>
    </row>
    <row r="41" spans="2:4">
      <c r="B41" s="4" t="s">
        <v>66</v>
      </c>
      <c r="C41" s="7">
        <v>1.8</v>
      </c>
      <c r="D41" s="6" t="s">
        <v>67</v>
      </c>
    </row>
    <row r="43" spans="2:4">
      <c r="B43" s="3" t="s">
        <v>68</v>
      </c>
      <c r="C43" s="3"/>
      <c r="D43" s="3"/>
    </row>
    <row r="44" spans="2:4">
      <c r="B44" s="4" t="s">
        <v>69</v>
      </c>
      <c r="C44" s="7">
        <v>4500000</v>
      </c>
      <c r="D44" s="6" t="s">
        <v>70</v>
      </c>
    </row>
    <row r="45" spans="2:4">
      <c r="B45" s="4" t="s">
        <v>71</v>
      </c>
      <c r="C45" s="8">
        <v>0.6</v>
      </c>
      <c r="D45" s="6" t="s">
        <v>72</v>
      </c>
    </row>
    <row r="46" spans="2:4">
      <c r="B46" s="4" t="s">
        <v>73</v>
      </c>
      <c r="C46" s="8">
        <v>0.15</v>
      </c>
      <c r="D46" s="6" t="s">
        <v>74</v>
      </c>
    </row>
    <row r="48" spans="2:4">
      <c r="B48" s="3" t="s">
        <v>75</v>
      </c>
      <c r="C48" s="3"/>
      <c r="D48" s="3"/>
    </row>
    <row r="49" spans="2:5">
      <c r="B49" s="10" t="s">
        <v>76</v>
      </c>
      <c r="C49" s="10" t="s">
        <v>77</v>
      </c>
      <c r="D49" s="10" t="s">
        <v>78</v>
      </c>
      <c r="E49" s="10" t="s">
        <v>79</v>
      </c>
    </row>
    <row r="50" spans="2:5">
      <c r="B50" s="4" t="s">
        <v>80</v>
      </c>
      <c r="C50" s="7">
        <v>200000</v>
      </c>
      <c r="D50" s="7">
        <v>350000</v>
      </c>
      <c r="E50" s="7">
        <v>450000</v>
      </c>
    </row>
    <row r="51" spans="2:5">
      <c r="B51" s="4" t="s">
        <v>36</v>
      </c>
      <c r="C51" s="7">
        <v>4.99</v>
      </c>
      <c r="D51" s="7">
        <v>5.99</v>
      </c>
      <c r="E51" s="7">
        <v>6.99</v>
      </c>
    </row>
    <row r="52" spans="2:5">
      <c r="B52" s="4" t="s">
        <v>40</v>
      </c>
      <c r="C52" s="7">
        <v>24</v>
      </c>
      <c r="D52" s="7">
        <v>18</v>
      </c>
      <c r="E52" s="7">
        <v>12</v>
      </c>
    </row>
    <row r="53" spans="2:5">
      <c r="B53" s="4" t="s">
        <v>81</v>
      </c>
      <c r="C53" s="7">
        <v>300000</v>
      </c>
      <c r="D53" s="7">
        <v>500000</v>
      </c>
      <c r="E53" s="7">
        <v>750000</v>
      </c>
    </row>
    <row r="54" spans="2:5">
      <c r="B54" s="4" t="s">
        <v>82</v>
      </c>
      <c r="C54" s="8">
        <v>0.55</v>
      </c>
      <c r="D54" s="8">
        <v>0.63</v>
      </c>
      <c r="E54" s="8">
        <v>0.7</v>
      </c>
    </row>
    <row r="55" spans="2:5">
      <c r="B55" s="4" t="s">
        <v>83</v>
      </c>
      <c r="C55" s="8">
        <v>0.12</v>
      </c>
      <c r="D55" s="8">
        <v>0.08</v>
      </c>
      <c r="E55" s="8">
        <v>0.05</v>
      </c>
    </row>
    <row r="56" spans="2:5">
      <c r="B56" s="4" t="s">
        <v>84</v>
      </c>
      <c r="C56" s="8">
        <v>0.35</v>
      </c>
      <c r="D56" s="8">
        <v>0.45</v>
      </c>
      <c r="E56" s="8">
        <v>0.5</v>
      </c>
    </row>
  </sheetData>
  <mergeCells count="9">
    <mergeCell ref="B2:D2"/>
    <mergeCell ref="B3:D3"/>
    <mergeCell ref="B5:D5"/>
    <mergeCell ref="B14:D14"/>
    <mergeCell ref="B22:D22"/>
    <mergeCell ref="B30:D30"/>
    <mergeCell ref="B38:D38"/>
    <mergeCell ref="B43:D43"/>
    <mergeCell ref="B48:D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B2:F40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7" width="18.7109375" customWidth="1"/>
  </cols>
  <sheetData>
    <row r="2" spans="2:6">
      <c r="B2" s="1" t="s">
        <v>85</v>
      </c>
      <c r="C2" s="1"/>
      <c r="D2" s="1"/>
      <c r="E2" s="1"/>
      <c r="F2" s="1"/>
    </row>
    <row r="4" spans="2:6">
      <c r="B4" s="3" t="s">
        <v>86</v>
      </c>
      <c r="C4" s="3"/>
      <c r="D4" s="3"/>
      <c r="E4" s="3"/>
      <c r="F4" s="3"/>
    </row>
    <row r="5" spans="2:6">
      <c r="B5" s="4" t="s">
        <v>87</v>
      </c>
      <c r="C5" s="11" t="s">
        <v>88</v>
      </c>
      <c r="D5" s="11"/>
      <c r="E5" s="11"/>
      <c r="F5" s="11"/>
    </row>
    <row r="6" spans="2:6">
      <c r="B6" s="4" t="s">
        <v>89</v>
      </c>
      <c r="C6" s="11" t="s">
        <v>90</v>
      </c>
      <c r="D6" s="11"/>
      <c r="E6" s="11"/>
      <c r="F6" s="11"/>
    </row>
    <row r="7" spans="2:6">
      <c r="B7" s="4" t="s">
        <v>91</v>
      </c>
      <c r="C7" s="11" t="s">
        <v>92</v>
      </c>
      <c r="D7" s="11"/>
      <c r="E7" s="11"/>
      <c r="F7" s="11"/>
    </row>
    <row r="8" spans="2:6">
      <c r="B8" s="4" t="s">
        <v>93</v>
      </c>
      <c r="C8" s="11" t="s">
        <v>94</v>
      </c>
      <c r="D8" s="11"/>
      <c r="E8" s="11"/>
      <c r="F8" s="11"/>
    </row>
    <row r="9" spans="2:6">
      <c r="B9" s="4" t="s">
        <v>95</v>
      </c>
      <c r="C9" s="11" t="s">
        <v>96</v>
      </c>
      <c r="D9" s="11"/>
      <c r="E9" s="11"/>
      <c r="F9" s="11"/>
    </row>
    <row r="10" spans="2:6">
      <c r="B10" s="4" t="s">
        <v>32</v>
      </c>
      <c r="C10" s="11" t="s">
        <v>97</v>
      </c>
      <c r="D10" s="11"/>
      <c r="E10" s="11"/>
      <c r="F10" s="11"/>
    </row>
    <row r="12" spans="2:6">
      <c r="B12" s="3" t="s">
        <v>98</v>
      </c>
      <c r="C12" s="3"/>
      <c r="D12" s="3"/>
      <c r="E12" s="3"/>
      <c r="F12" s="3"/>
    </row>
    <row r="13" spans="2:6" ht="30" customHeight="1">
      <c r="B13" s="10" t="s">
        <v>6</v>
      </c>
      <c r="C13" s="10" t="s">
        <v>99</v>
      </c>
      <c r="D13" s="10" t="s">
        <v>100</v>
      </c>
      <c r="E13" s="10" t="s">
        <v>101</v>
      </c>
      <c r="F13" s="10" t="s">
        <v>102</v>
      </c>
    </row>
    <row r="14" spans="2:6">
      <c r="B14" s="4" t="s">
        <v>7</v>
      </c>
      <c r="C14" s="12">
        <v>0.55</v>
      </c>
      <c r="D14" s="11" t="s">
        <v>103</v>
      </c>
      <c r="E14" s="13">
        <v>1.5</v>
      </c>
      <c r="F14" s="11" t="s">
        <v>104</v>
      </c>
    </row>
    <row r="15" spans="2:6">
      <c r="B15" s="4" t="s">
        <v>105</v>
      </c>
      <c r="C15" s="12">
        <v>0.36</v>
      </c>
      <c r="D15" s="11" t="s">
        <v>106</v>
      </c>
      <c r="E15" s="13">
        <v>1.8</v>
      </c>
      <c r="F15" s="11" t="s">
        <v>107</v>
      </c>
    </row>
    <row r="16" spans="2:6">
      <c r="B16" s="4" t="s">
        <v>108</v>
      </c>
      <c r="C16" s="12">
        <v>0.04</v>
      </c>
      <c r="D16" s="11" t="s">
        <v>109</v>
      </c>
      <c r="E16" s="13">
        <v>2.5</v>
      </c>
      <c r="F16" s="11" t="s">
        <v>110</v>
      </c>
    </row>
    <row r="17" spans="2:6">
      <c r="B17" s="4" t="s">
        <v>111</v>
      </c>
      <c r="C17" s="12">
        <v>0.01</v>
      </c>
      <c r="D17" s="11" t="s">
        <v>112</v>
      </c>
      <c r="E17" s="13">
        <v>5</v>
      </c>
      <c r="F17" s="11" t="s">
        <v>110</v>
      </c>
    </row>
    <row r="19" spans="2:6">
      <c r="B19" s="3" t="s">
        <v>113</v>
      </c>
      <c r="C19" s="3"/>
      <c r="D19" s="3"/>
      <c r="E19" s="3"/>
      <c r="F19" s="3"/>
    </row>
    <row r="20" spans="2:6">
      <c r="B20" s="4" t="s">
        <v>114</v>
      </c>
      <c r="C20" s="11" t="s">
        <v>115</v>
      </c>
      <c r="D20" s="11"/>
      <c r="E20" s="11"/>
      <c r="F20" s="11"/>
    </row>
    <row r="21" spans="2:6">
      <c r="B21" s="4" t="s">
        <v>116</v>
      </c>
      <c r="C21" s="11" t="s">
        <v>117</v>
      </c>
      <c r="D21" s="11"/>
      <c r="E21" s="11"/>
      <c r="F21" s="11"/>
    </row>
    <row r="22" spans="2:6">
      <c r="B22" s="4" t="s">
        <v>118</v>
      </c>
      <c r="C22" s="11" t="s">
        <v>119</v>
      </c>
      <c r="D22" s="11"/>
      <c r="E22" s="11"/>
      <c r="F22" s="11"/>
    </row>
    <row r="23" spans="2:6">
      <c r="B23" s="4" t="s">
        <v>120</v>
      </c>
      <c r="C23" s="11" t="s">
        <v>121</v>
      </c>
      <c r="D23" s="11"/>
      <c r="E23" s="11"/>
      <c r="F23" s="11"/>
    </row>
    <row r="24" spans="2:6">
      <c r="B24" s="4" t="s">
        <v>122</v>
      </c>
      <c r="C24" s="11" t="s">
        <v>123</v>
      </c>
      <c r="D24" s="11"/>
      <c r="E24" s="11"/>
      <c r="F24" s="11"/>
    </row>
    <row r="25" spans="2:6">
      <c r="B25" s="4" t="s">
        <v>124</v>
      </c>
      <c r="C25" s="11" t="s">
        <v>125</v>
      </c>
      <c r="D25" s="11"/>
      <c r="E25" s="11"/>
      <c r="F25" s="11"/>
    </row>
    <row r="26" spans="2:6">
      <c r="B26" s="4" t="s">
        <v>126</v>
      </c>
      <c r="C26" s="11" t="s">
        <v>127</v>
      </c>
      <c r="D26" s="11"/>
      <c r="E26" s="11"/>
      <c r="F26" s="11"/>
    </row>
    <row r="27" spans="2:6">
      <c r="B27" s="4" t="s">
        <v>128</v>
      </c>
      <c r="C27" s="11" t="s">
        <v>129</v>
      </c>
      <c r="D27" s="11"/>
      <c r="E27" s="11"/>
      <c r="F27" s="11"/>
    </row>
    <row r="29" spans="2:6">
      <c r="B29" s="3" t="s">
        <v>130</v>
      </c>
      <c r="C29" s="3"/>
      <c r="D29" s="3"/>
      <c r="E29" s="3"/>
      <c r="F29" s="3"/>
    </row>
    <row r="30" spans="2:6">
      <c r="B30" s="4" t="s">
        <v>131</v>
      </c>
      <c r="C30" s="11" t="s">
        <v>132</v>
      </c>
      <c r="D30" s="11"/>
      <c r="E30" s="11"/>
      <c r="F30" s="11"/>
    </row>
    <row r="31" spans="2:6">
      <c r="B31" s="4" t="s">
        <v>133</v>
      </c>
      <c r="C31" s="11" t="s">
        <v>134</v>
      </c>
      <c r="D31" s="11"/>
      <c r="E31" s="11"/>
      <c r="F31" s="11"/>
    </row>
    <row r="32" spans="2:6">
      <c r="B32" s="4" t="s">
        <v>135</v>
      </c>
      <c r="C32" s="11" t="s">
        <v>136</v>
      </c>
      <c r="D32" s="11"/>
      <c r="E32" s="11"/>
      <c r="F32" s="11"/>
    </row>
    <row r="33" spans="2:6">
      <c r="B33" s="4" t="s">
        <v>137</v>
      </c>
      <c r="C33" s="11" t="s">
        <v>138</v>
      </c>
      <c r="D33" s="11"/>
      <c r="E33" s="11"/>
      <c r="F33" s="11"/>
    </row>
    <row r="35" spans="2:6">
      <c r="B35" s="3" t="s">
        <v>139</v>
      </c>
      <c r="C35" s="3"/>
      <c r="D35" s="3"/>
      <c r="E35" s="3"/>
      <c r="F35" s="3"/>
    </row>
    <row r="36" spans="2:6">
      <c r="B36" s="4" t="s">
        <v>140</v>
      </c>
      <c r="C36" s="11" t="s">
        <v>141</v>
      </c>
      <c r="D36" s="11"/>
      <c r="E36" s="11"/>
      <c r="F36" s="11"/>
    </row>
    <row r="37" spans="2:6">
      <c r="B37" s="4" t="s">
        <v>142</v>
      </c>
      <c r="C37" s="11" t="s">
        <v>143</v>
      </c>
      <c r="D37" s="11"/>
      <c r="E37" s="11"/>
      <c r="F37" s="11"/>
    </row>
    <row r="38" spans="2:6">
      <c r="B38" s="4" t="s">
        <v>144</v>
      </c>
      <c r="C38" s="11" t="s">
        <v>145</v>
      </c>
      <c r="D38" s="11"/>
      <c r="E38" s="11"/>
      <c r="F38" s="11"/>
    </row>
    <row r="39" spans="2:6">
      <c r="B39" s="4" t="s">
        <v>146</v>
      </c>
      <c r="C39" s="11" t="s">
        <v>147</v>
      </c>
      <c r="D39" s="11"/>
      <c r="E39" s="11"/>
      <c r="F39" s="11"/>
    </row>
    <row r="40" spans="2:6">
      <c r="B40" s="4" t="s">
        <v>148</v>
      </c>
      <c r="C40" s="11" t="s">
        <v>149</v>
      </c>
      <c r="D40" s="11"/>
      <c r="E40" s="11"/>
      <c r="F40" s="11"/>
    </row>
  </sheetData>
  <mergeCells count="29">
    <mergeCell ref="B2:F2"/>
    <mergeCell ref="B4:F4"/>
    <mergeCell ref="C5:F5"/>
    <mergeCell ref="C6:F6"/>
    <mergeCell ref="C7:F7"/>
    <mergeCell ref="C8:F8"/>
    <mergeCell ref="C9:F9"/>
    <mergeCell ref="C10:F10"/>
    <mergeCell ref="B12:F12"/>
    <mergeCell ref="B19:F19"/>
    <mergeCell ref="C20:F20"/>
    <mergeCell ref="C21:F21"/>
    <mergeCell ref="C22:F22"/>
    <mergeCell ref="C23:F23"/>
    <mergeCell ref="C24:F24"/>
    <mergeCell ref="C25:F25"/>
    <mergeCell ref="C26:F26"/>
    <mergeCell ref="C27:F27"/>
    <mergeCell ref="B29:F29"/>
    <mergeCell ref="C30:F30"/>
    <mergeCell ref="C31:F31"/>
    <mergeCell ref="C32:F32"/>
    <mergeCell ref="C33:F33"/>
    <mergeCell ref="B35:F35"/>
    <mergeCell ref="C36:F36"/>
    <mergeCell ref="C37:F37"/>
    <mergeCell ref="C38:F38"/>
    <mergeCell ref="C39:F39"/>
    <mergeCell ref="C40: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C3AED"/>
  </sheetPr>
  <dimension ref="B2:L64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4" width="14.7109375" customWidth="1"/>
  </cols>
  <sheetData>
    <row r="2" spans="2:12">
      <c r="B2" s="1" t="s">
        <v>150</v>
      </c>
      <c r="C2" s="1"/>
      <c r="D2" s="1"/>
      <c r="E2" s="1"/>
      <c r="F2" s="1"/>
      <c r="G2" s="1"/>
      <c r="H2" s="1"/>
      <c r="I2" s="1"/>
      <c r="J2" s="1"/>
      <c r="K2" s="1"/>
    </row>
    <row r="4" spans="2:12" ht="35" customHeight="1">
      <c r="B4" s="14" t="s">
        <v>151</v>
      </c>
      <c r="C4" s="14" t="s">
        <v>152</v>
      </c>
      <c r="D4" s="14" t="s">
        <v>153</v>
      </c>
      <c r="E4" s="14" t="s">
        <v>154</v>
      </c>
      <c r="F4" s="14" t="s">
        <v>155</v>
      </c>
      <c r="G4" s="14" t="s">
        <v>156</v>
      </c>
      <c r="H4" s="14" t="s">
        <v>157</v>
      </c>
      <c r="I4" s="14" t="s">
        <v>158</v>
      </c>
      <c r="J4" s="14" t="s">
        <v>159</v>
      </c>
      <c r="K4" s="14" t="s">
        <v>160</v>
      </c>
      <c r="L4" s="14" t="s">
        <v>161</v>
      </c>
    </row>
    <row r="5" spans="2:12">
      <c r="B5">
        <v>1</v>
      </c>
      <c r="C5" s="15">
        <v>11413</v>
      </c>
      <c r="D5" s="12">
        <v>0.4966722129783694</v>
      </c>
      <c r="E5" s="16">
        <v>212759</v>
      </c>
      <c r="F5" s="15">
        <v>9669</v>
      </c>
      <c r="G5" s="12">
        <v>0.4026622296173045</v>
      </c>
      <c r="H5" s="16">
        <v>207981</v>
      </c>
      <c r="I5" s="15">
        <v>2244</v>
      </c>
      <c r="J5" s="12">
        <v>0.1006655574043261</v>
      </c>
      <c r="K5" s="16">
        <v>45850</v>
      </c>
      <c r="L5" s="15">
        <v>23326</v>
      </c>
    </row>
    <row r="6" spans="2:12">
      <c r="B6" s="17">
        <v>2</v>
      </c>
      <c r="C6" s="18">
        <v>18038</v>
      </c>
      <c r="D6" s="19">
        <v>0.4933554817275747</v>
      </c>
      <c r="E6" s="20">
        <v>335404</v>
      </c>
      <c r="F6" s="18">
        <v>15486</v>
      </c>
      <c r="G6" s="19">
        <v>0.4053156146179402</v>
      </c>
      <c r="H6" s="20">
        <v>332250</v>
      </c>
      <c r="I6" s="18">
        <v>3594</v>
      </c>
      <c r="J6" s="19">
        <v>0.101328903654485</v>
      </c>
      <c r="K6" s="20">
        <v>73246</v>
      </c>
      <c r="L6" s="18">
        <v>37118</v>
      </c>
    </row>
    <row r="7" spans="2:12">
      <c r="B7">
        <v>3</v>
      </c>
      <c r="C7" s="15">
        <v>23378</v>
      </c>
      <c r="D7" s="12">
        <v>0.490049751243781</v>
      </c>
      <c r="E7" s="16">
        <v>433583</v>
      </c>
      <c r="F7" s="15">
        <v>20337</v>
      </c>
      <c r="G7" s="12">
        <v>0.4079601990049751</v>
      </c>
      <c r="H7" s="16">
        <v>435225</v>
      </c>
      <c r="I7" s="15">
        <v>4719</v>
      </c>
      <c r="J7" s="12">
        <v>0.1019900497512438</v>
      </c>
      <c r="K7" s="16">
        <v>95947</v>
      </c>
      <c r="L7" s="15">
        <v>48434</v>
      </c>
    </row>
    <row r="8" spans="2:12">
      <c r="B8" s="17">
        <v>4</v>
      </c>
      <c r="C8" s="18">
        <v>31567</v>
      </c>
      <c r="D8" s="19">
        <v>0.4867549668874173</v>
      </c>
      <c r="E8" s="20">
        <v>583986</v>
      </c>
      <c r="F8" s="18">
        <v>27826</v>
      </c>
      <c r="G8" s="19">
        <v>0.4105960264900663</v>
      </c>
      <c r="H8" s="20">
        <v>593978</v>
      </c>
      <c r="I8" s="18">
        <v>6457</v>
      </c>
      <c r="J8" s="19">
        <v>0.1026490066225166</v>
      </c>
      <c r="K8" s="20">
        <v>130945</v>
      </c>
      <c r="L8" s="18">
        <v>65850</v>
      </c>
    </row>
    <row r="9" spans="2:12">
      <c r="B9">
        <v>5</v>
      </c>
      <c r="C9" s="15">
        <v>44034</v>
      </c>
      <c r="D9" s="12">
        <v>0.4834710743801653</v>
      </c>
      <c r="E9" s="16">
        <v>812562</v>
      </c>
      <c r="F9" s="15">
        <v>39329</v>
      </c>
      <c r="G9" s="12">
        <v>0.4132231404958678</v>
      </c>
      <c r="H9" s="16">
        <v>837403</v>
      </c>
      <c r="I9" s="15">
        <v>9127</v>
      </c>
      <c r="J9" s="12">
        <v>0.1033057851239669</v>
      </c>
      <c r="K9" s="16">
        <v>184609</v>
      </c>
      <c r="L9" s="15">
        <v>92490</v>
      </c>
    </row>
    <row r="10" spans="2:12">
      <c r="B10" s="17">
        <v>6</v>
      </c>
      <c r="C10" s="18">
        <v>59741</v>
      </c>
      <c r="D10" s="19">
        <v>0.4801980198019802</v>
      </c>
      <c r="E10" s="20">
        <v>1099620</v>
      </c>
      <c r="F10" s="18">
        <v>54063</v>
      </c>
      <c r="G10" s="19">
        <v>0.4158415841584159</v>
      </c>
      <c r="H10" s="20">
        <v>1148191</v>
      </c>
      <c r="I10" s="18">
        <v>12546</v>
      </c>
      <c r="J10" s="19">
        <v>0.103960396039604</v>
      </c>
      <c r="K10" s="20">
        <v>253124</v>
      </c>
      <c r="L10" s="18">
        <v>126350</v>
      </c>
    </row>
    <row r="11" spans="2:12">
      <c r="B11">
        <v>7</v>
      </c>
      <c r="C11" s="15">
        <v>71605</v>
      </c>
      <c r="D11" s="12">
        <v>0.4769357495881383</v>
      </c>
      <c r="E11" s="16">
        <v>1314652</v>
      </c>
      <c r="F11" s="15">
        <v>65652</v>
      </c>
      <c r="G11" s="12">
        <v>0.4184514003294893</v>
      </c>
      <c r="H11" s="16">
        <v>1390785</v>
      </c>
      <c r="I11" s="15">
        <v>15235</v>
      </c>
      <c r="J11" s="12">
        <v>0.1046128500823723</v>
      </c>
      <c r="K11" s="16">
        <v>306605</v>
      </c>
      <c r="L11" s="15">
        <v>152492</v>
      </c>
    </row>
    <row r="12" spans="2:12">
      <c r="B12" s="17">
        <v>8</v>
      </c>
      <c r="C12" s="18">
        <v>82707</v>
      </c>
      <c r="D12" s="19">
        <v>0.4736842105263157</v>
      </c>
      <c r="E12" s="20">
        <v>1514630</v>
      </c>
      <c r="F12" s="18">
        <v>76826</v>
      </c>
      <c r="G12" s="19">
        <v>0.4210526315789473</v>
      </c>
      <c r="H12" s="20">
        <v>1623373</v>
      </c>
      <c r="I12" s="18">
        <v>17828</v>
      </c>
      <c r="J12" s="19">
        <v>0.1052631578947368</v>
      </c>
      <c r="K12" s="20">
        <v>357880</v>
      </c>
      <c r="L12" s="18">
        <v>177361</v>
      </c>
    </row>
    <row r="13" spans="2:12">
      <c r="B13">
        <v>9</v>
      </c>
      <c r="C13" s="15">
        <v>92178</v>
      </c>
      <c r="D13" s="12">
        <v>0.4704433497536945</v>
      </c>
      <c r="E13" s="16">
        <v>1683789</v>
      </c>
      <c r="F13" s="15">
        <v>86744</v>
      </c>
      <c r="G13" s="12">
        <v>0.4236453201970443</v>
      </c>
      <c r="H13" s="16">
        <v>1828298</v>
      </c>
      <c r="I13" s="15">
        <v>20130</v>
      </c>
      <c r="J13" s="12">
        <v>0.1059113300492611</v>
      </c>
      <c r="K13" s="16">
        <v>403057</v>
      </c>
      <c r="L13" s="15">
        <v>199052</v>
      </c>
    </row>
    <row r="14" spans="2:12">
      <c r="B14" s="17">
        <v>10</v>
      </c>
      <c r="C14" s="18">
        <v>104777</v>
      </c>
      <c r="D14" s="19">
        <v>0.4672131147540984</v>
      </c>
      <c r="E14" s="20">
        <v>1909077</v>
      </c>
      <c r="F14" s="18">
        <v>99887</v>
      </c>
      <c r="G14" s="19">
        <v>0.4262295081967213</v>
      </c>
      <c r="H14" s="20">
        <v>2099984</v>
      </c>
      <c r="I14" s="18">
        <v>23180</v>
      </c>
      <c r="J14" s="19">
        <v>0.1065573770491803</v>
      </c>
      <c r="K14" s="20">
        <v>462951</v>
      </c>
      <c r="L14" s="18">
        <v>227844</v>
      </c>
    </row>
    <row r="15" spans="2:12">
      <c r="B15">
        <v>11</v>
      </c>
      <c r="C15" s="15">
        <v>115936</v>
      </c>
      <c r="D15" s="12">
        <v>0.4639934533551555</v>
      </c>
      <c r="E15" s="16">
        <v>2107042</v>
      </c>
      <c r="F15" s="15">
        <v>111965</v>
      </c>
      <c r="G15" s="12">
        <v>0.4288052373158757</v>
      </c>
      <c r="H15" s="16">
        <v>2347933</v>
      </c>
      <c r="I15" s="15">
        <v>25982</v>
      </c>
      <c r="J15" s="12">
        <v>0.1072013093289689</v>
      </c>
      <c r="K15" s="16">
        <v>517613</v>
      </c>
      <c r="L15" s="15">
        <v>253883</v>
      </c>
    </row>
    <row r="16" spans="2:12">
      <c r="B16" s="17">
        <v>12</v>
      </c>
      <c r="C16" s="18">
        <v>131782</v>
      </c>
      <c r="D16" s="19">
        <v>0.4607843137254902</v>
      </c>
      <c r="E16" s="20">
        <v>2388955</v>
      </c>
      <c r="F16" s="18">
        <v>128922</v>
      </c>
      <c r="G16" s="19">
        <v>0.4313725490196079</v>
      </c>
      <c r="H16" s="20">
        <v>2696665</v>
      </c>
      <c r="I16" s="18">
        <v>29917</v>
      </c>
      <c r="J16" s="19">
        <v>0.107843137254902</v>
      </c>
      <c r="K16" s="20">
        <v>594492</v>
      </c>
      <c r="L16" s="18">
        <v>290621</v>
      </c>
    </row>
    <row r="17" spans="2:12">
      <c r="B17">
        <v>13</v>
      </c>
      <c r="C17" s="15">
        <v>126170</v>
      </c>
      <c r="D17" s="12">
        <v>0.4575856443719413</v>
      </c>
      <c r="E17" s="16">
        <v>2281433</v>
      </c>
      <c r="F17" s="15">
        <v>125032</v>
      </c>
      <c r="G17" s="12">
        <v>0.433931484502447</v>
      </c>
      <c r="H17" s="16">
        <v>2608679</v>
      </c>
      <c r="I17" s="15">
        <v>29015</v>
      </c>
      <c r="J17" s="12">
        <v>0.1084828711256118</v>
      </c>
      <c r="K17" s="16">
        <v>575095</v>
      </c>
      <c r="L17" s="15">
        <v>280217</v>
      </c>
    </row>
    <row r="18" spans="2:12">
      <c r="B18" s="17">
        <v>14</v>
      </c>
      <c r="C18" s="18">
        <v>153077</v>
      </c>
      <c r="D18" s="19">
        <v>0.4543973941368077</v>
      </c>
      <c r="E18" s="20">
        <v>2760950</v>
      </c>
      <c r="F18" s="18">
        <v>153659</v>
      </c>
      <c r="G18" s="19">
        <v>0.4364820846905538</v>
      </c>
      <c r="H18" s="20">
        <v>3197815</v>
      </c>
      <c r="I18" s="18">
        <v>35658</v>
      </c>
      <c r="J18" s="19">
        <v>0.1091205211726384</v>
      </c>
      <c r="K18" s="20">
        <v>704973</v>
      </c>
      <c r="L18" s="18">
        <v>342394</v>
      </c>
    </row>
    <row r="19" spans="2:12">
      <c r="B19">
        <v>15</v>
      </c>
      <c r="C19" s="15">
        <v>150614</v>
      </c>
      <c r="D19" s="12">
        <v>0.4512195121951219</v>
      </c>
      <c r="E19" s="16">
        <v>2709634</v>
      </c>
      <c r="F19" s="15">
        <v>153138</v>
      </c>
      <c r="G19" s="12">
        <v>0.4390243902439024</v>
      </c>
      <c r="H19" s="16">
        <v>3178891</v>
      </c>
      <c r="I19" s="15">
        <v>35537</v>
      </c>
      <c r="J19" s="12">
        <v>0.1097560975609756</v>
      </c>
      <c r="K19" s="16">
        <v>700801</v>
      </c>
      <c r="L19" s="15">
        <v>339289</v>
      </c>
    </row>
    <row r="20" spans="2:12">
      <c r="B20" s="17">
        <v>16</v>
      </c>
      <c r="C20" s="18">
        <v>153937</v>
      </c>
      <c r="D20" s="19">
        <v>0.448051948051948</v>
      </c>
      <c r="E20" s="20">
        <v>2762394</v>
      </c>
      <c r="F20" s="18">
        <v>158532</v>
      </c>
      <c r="G20" s="19">
        <v>0.4415584415584415</v>
      </c>
      <c r="H20" s="20">
        <v>3282537</v>
      </c>
      <c r="I20" s="18">
        <v>36789</v>
      </c>
      <c r="J20" s="19">
        <v>0.1103896103896104</v>
      </c>
      <c r="K20" s="20">
        <v>723650</v>
      </c>
      <c r="L20" s="18">
        <v>349258</v>
      </c>
    </row>
    <row r="21" spans="2:12">
      <c r="B21">
        <v>17</v>
      </c>
      <c r="C21" s="15">
        <v>163771</v>
      </c>
      <c r="D21" s="12">
        <v>0.4448946515397083</v>
      </c>
      <c r="E21" s="16">
        <v>2931425</v>
      </c>
      <c r="F21" s="15">
        <v>170829</v>
      </c>
      <c r="G21" s="12">
        <v>0.4440842787682334</v>
      </c>
      <c r="H21" s="16">
        <v>3528183</v>
      </c>
      <c r="I21" s="15">
        <v>39642</v>
      </c>
      <c r="J21" s="12">
        <v>0.1110210696920583</v>
      </c>
      <c r="K21" s="16">
        <v>777804</v>
      </c>
      <c r="L21" s="15">
        <v>374242</v>
      </c>
    </row>
    <row r="22" spans="2:12">
      <c r="B22" s="17">
        <v>18</v>
      </c>
      <c r="C22" s="18">
        <v>172910</v>
      </c>
      <c r="D22" s="19">
        <v>0.441747572815534</v>
      </c>
      <c r="E22" s="20">
        <v>3087164</v>
      </c>
      <c r="F22" s="18">
        <v>182677</v>
      </c>
      <c r="G22" s="19">
        <v>0.4466019417475728</v>
      </c>
      <c r="H22" s="20">
        <v>3763313</v>
      </c>
      <c r="I22" s="18">
        <v>42392</v>
      </c>
      <c r="J22" s="19">
        <v>0.1116504854368932</v>
      </c>
      <c r="K22" s="20">
        <v>829639</v>
      </c>
      <c r="L22" s="18">
        <v>397979</v>
      </c>
    </row>
    <row r="23" spans="2:12">
      <c r="B23">
        <v>19</v>
      </c>
      <c r="C23" s="15">
        <v>166148</v>
      </c>
      <c r="D23" s="12">
        <v>0.4386106623586429</v>
      </c>
      <c r="E23" s="16">
        <v>2958906</v>
      </c>
      <c r="F23" s="15">
        <v>177781</v>
      </c>
      <c r="G23" s="12">
        <v>0.4491114701130856</v>
      </c>
      <c r="H23" s="16">
        <v>3653174</v>
      </c>
      <c r="I23" s="15">
        <v>41255</v>
      </c>
      <c r="J23" s="12">
        <v>0.1122778675282714</v>
      </c>
      <c r="K23" s="16">
        <v>805359</v>
      </c>
      <c r="L23" s="15">
        <v>385184</v>
      </c>
    </row>
    <row r="24" spans="2:12">
      <c r="B24" s="17">
        <v>20</v>
      </c>
      <c r="C24" s="18">
        <v>158849</v>
      </c>
      <c r="D24" s="19">
        <v>0.4354838709677419</v>
      </c>
      <c r="E24" s="20">
        <v>2821749</v>
      </c>
      <c r="F24" s="18">
        <v>172145</v>
      </c>
      <c r="G24" s="19">
        <v>0.4516129032258064</v>
      </c>
      <c r="H24" s="20">
        <v>3528392</v>
      </c>
      <c r="I24" s="18">
        <v>39948</v>
      </c>
      <c r="J24" s="19">
        <v>0.1129032258064516</v>
      </c>
      <c r="K24" s="20">
        <v>777850</v>
      </c>
      <c r="L24" s="18">
        <v>370942</v>
      </c>
    </row>
    <row r="25" spans="2:12">
      <c r="B25">
        <v>21</v>
      </c>
      <c r="C25" s="15">
        <v>151193</v>
      </c>
      <c r="D25" s="12">
        <v>0.432367149758454</v>
      </c>
      <c r="E25" s="16">
        <v>2678939</v>
      </c>
      <c r="F25" s="15">
        <v>165940</v>
      </c>
      <c r="G25" s="12">
        <v>0.4541062801932367</v>
      </c>
      <c r="H25" s="16">
        <v>3392594</v>
      </c>
      <c r="I25" s="15">
        <v>38508</v>
      </c>
      <c r="J25" s="12">
        <v>0.1135265700483092</v>
      </c>
      <c r="K25" s="16">
        <v>747913</v>
      </c>
      <c r="L25" s="15">
        <v>355641</v>
      </c>
    </row>
    <row r="26" spans="2:12">
      <c r="B26" s="17">
        <v>22</v>
      </c>
      <c r="C26" s="18">
        <v>150954</v>
      </c>
      <c r="D26" s="19">
        <v>0.4292604501607717</v>
      </c>
      <c r="E26" s="20">
        <v>2667933</v>
      </c>
      <c r="F26" s="18">
        <v>167791</v>
      </c>
      <c r="G26" s="19">
        <v>0.4565916398713827</v>
      </c>
      <c r="H26" s="20">
        <v>3421734</v>
      </c>
      <c r="I26" s="18">
        <v>38937</v>
      </c>
      <c r="J26" s="19">
        <v>0.1141479099678457</v>
      </c>
      <c r="K26" s="20">
        <v>754337</v>
      </c>
      <c r="L26" s="18">
        <v>357682</v>
      </c>
    </row>
    <row r="27" spans="2:12">
      <c r="B27">
        <v>23</v>
      </c>
      <c r="C27" s="15">
        <v>150533</v>
      </c>
      <c r="D27" s="12">
        <v>0.4261637239165329</v>
      </c>
      <c r="E27" s="16">
        <v>2653738</v>
      </c>
      <c r="F27" s="15">
        <v>169453</v>
      </c>
      <c r="G27" s="12">
        <v>0.4590690208667737</v>
      </c>
      <c r="H27" s="16">
        <v>3446861</v>
      </c>
      <c r="I27" s="15">
        <v>39323</v>
      </c>
      <c r="J27" s="12">
        <v>0.1147672552166934</v>
      </c>
      <c r="K27" s="16">
        <v>759876</v>
      </c>
      <c r="L27" s="15">
        <v>359309</v>
      </c>
    </row>
    <row r="28" spans="2:12">
      <c r="B28" s="17">
        <v>24</v>
      </c>
      <c r="C28" s="18">
        <v>157565</v>
      </c>
      <c r="D28" s="19">
        <v>0.4230769230769231</v>
      </c>
      <c r="E28" s="20">
        <v>2770669</v>
      </c>
      <c r="F28" s="18">
        <v>179624</v>
      </c>
      <c r="G28" s="19">
        <v>0.4615384615384616</v>
      </c>
      <c r="H28" s="20">
        <v>3644495</v>
      </c>
      <c r="I28" s="18">
        <v>41683</v>
      </c>
      <c r="J28" s="19">
        <v>0.1153846153846154</v>
      </c>
      <c r="K28" s="20">
        <v>803446</v>
      </c>
      <c r="L28" s="18">
        <v>378872</v>
      </c>
    </row>
    <row r="29" spans="2:12">
      <c r="B29">
        <v>25</v>
      </c>
      <c r="C29" s="15">
        <v>141770</v>
      </c>
      <c r="D29" s="12">
        <v>0.42</v>
      </c>
      <c r="E29" s="16">
        <v>2486612</v>
      </c>
      <c r="F29" s="15">
        <v>163670</v>
      </c>
      <c r="G29" s="12">
        <v>0.464</v>
      </c>
      <c r="H29" s="16">
        <v>3312385</v>
      </c>
      <c r="I29" s="15">
        <v>37981</v>
      </c>
      <c r="J29" s="12">
        <v>0.116</v>
      </c>
      <c r="K29" s="16">
        <v>730230</v>
      </c>
      <c r="L29" s="15">
        <v>343421</v>
      </c>
    </row>
    <row r="30" spans="2:12">
      <c r="B30" s="17">
        <v>26</v>
      </c>
      <c r="C30" s="18">
        <v>163626</v>
      </c>
      <c r="D30" s="19">
        <v>0.4169329073482428</v>
      </c>
      <c r="E30" s="20">
        <v>2862678</v>
      </c>
      <c r="F30" s="18">
        <v>191298</v>
      </c>
      <c r="G30" s="19">
        <v>0.4664536741214057</v>
      </c>
      <c r="H30" s="20">
        <v>3861705</v>
      </c>
      <c r="I30" s="18">
        <v>44392</v>
      </c>
      <c r="J30" s="19">
        <v>0.1166134185303514</v>
      </c>
      <c r="K30" s="20">
        <v>851330</v>
      </c>
      <c r="L30" s="18">
        <v>399316</v>
      </c>
    </row>
    <row r="31" spans="2:12">
      <c r="B31">
        <v>27</v>
      </c>
      <c r="C31" s="15">
        <v>155294</v>
      </c>
      <c r="D31" s="12">
        <v>0.4138755980861245</v>
      </c>
      <c r="E31" s="16">
        <v>2710016</v>
      </c>
      <c r="F31" s="15">
        <v>183857</v>
      </c>
      <c r="G31" s="12">
        <v>0.4688995215311005</v>
      </c>
      <c r="H31" s="16">
        <v>3702081</v>
      </c>
      <c r="I31" s="15">
        <v>42665</v>
      </c>
      <c r="J31" s="12">
        <v>0.1172248803827751</v>
      </c>
      <c r="K31" s="16">
        <v>816141</v>
      </c>
      <c r="L31" s="15">
        <v>381816</v>
      </c>
    </row>
    <row r="32" spans="2:12">
      <c r="B32" s="17">
        <v>28</v>
      </c>
      <c r="C32" s="18">
        <v>154436</v>
      </c>
      <c r="D32" s="19">
        <v>0.410828025477707</v>
      </c>
      <c r="E32" s="20">
        <v>2688222</v>
      </c>
      <c r="F32" s="18">
        <v>185156</v>
      </c>
      <c r="G32" s="19">
        <v>0.4713375796178344</v>
      </c>
      <c r="H32" s="20">
        <v>3718787</v>
      </c>
      <c r="I32" s="18">
        <v>42967</v>
      </c>
      <c r="J32" s="19">
        <v>0.1178343949044586</v>
      </c>
      <c r="K32" s="20">
        <v>819824</v>
      </c>
      <c r="L32" s="18">
        <v>382559</v>
      </c>
    </row>
    <row r="33" spans="2:12">
      <c r="B33">
        <v>29</v>
      </c>
      <c r="C33" s="15">
        <v>160939</v>
      </c>
      <c r="D33" s="12">
        <v>0.4077901430842607</v>
      </c>
      <c r="E33" s="16">
        <v>2794304</v>
      </c>
      <c r="F33" s="15">
        <v>195392</v>
      </c>
      <c r="G33" s="12">
        <v>0.4737678855325915</v>
      </c>
      <c r="H33" s="16">
        <v>3914414</v>
      </c>
      <c r="I33" s="15">
        <v>45342</v>
      </c>
      <c r="J33" s="12">
        <v>0.1184419713831479</v>
      </c>
      <c r="K33" s="16">
        <v>862950</v>
      </c>
      <c r="L33" s="15">
        <v>401673</v>
      </c>
    </row>
    <row r="34" spans="2:12">
      <c r="B34" s="17">
        <v>30</v>
      </c>
      <c r="C34" s="18">
        <v>167332</v>
      </c>
      <c r="D34" s="19">
        <v>0.4047619047619047</v>
      </c>
      <c r="E34" s="20">
        <v>2897951</v>
      </c>
      <c r="F34" s="18">
        <v>205721</v>
      </c>
      <c r="G34" s="19">
        <v>0.4761904761904762</v>
      </c>
      <c r="H34" s="20">
        <v>4110894</v>
      </c>
      <c r="I34" s="18">
        <v>47739</v>
      </c>
      <c r="J34" s="19">
        <v>0.119047619047619</v>
      </c>
      <c r="K34" s="20">
        <v>906265</v>
      </c>
      <c r="L34" s="18">
        <v>420792</v>
      </c>
    </row>
    <row r="35" spans="2:12">
      <c r="B35">
        <v>31</v>
      </c>
      <c r="C35" s="15">
        <v>159023</v>
      </c>
      <c r="D35" s="12">
        <v>0.401743264659271</v>
      </c>
      <c r="E35" s="16">
        <v>2747061</v>
      </c>
      <c r="F35" s="15">
        <v>197973</v>
      </c>
      <c r="G35" s="12">
        <v>0.4786053882725833</v>
      </c>
      <c r="H35" s="16">
        <v>3946040</v>
      </c>
      <c r="I35" s="15">
        <v>45941</v>
      </c>
      <c r="J35" s="12">
        <v>0.1196513470681458</v>
      </c>
      <c r="K35" s="16">
        <v>869923</v>
      </c>
      <c r="L35" s="15">
        <v>402937</v>
      </c>
    </row>
    <row r="36" spans="2:12">
      <c r="B36" s="17">
        <v>32</v>
      </c>
      <c r="C36" s="18">
        <v>150792</v>
      </c>
      <c r="D36" s="19">
        <v>0.3987341772151899</v>
      </c>
      <c r="E36" s="20">
        <v>2598275</v>
      </c>
      <c r="F36" s="18">
        <v>190094</v>
      </c>
      <c r="G36" s="19">
        <v>0.4810126582278481</v>
      </c>
      <c r="H36" s="20">
        <v>3779395</v>
      </c>
      <c r="I36" s="18">
        <v>44113</v>
      </c>
      <c r="J36" s="19">
        <v>0.120253164556962</v>
      </c>
      <c r="K36" s="20">
        <v>833185</v>
      </c>
      <c r="L36" s="18">
        <v>384999</v>
      </c>
    </row>
    <row r="37" spans="2:12">
      <c r="B37">
        <v>33</v>
      </c>
      <c r="C37" s="15">
        <v>142644</v>
      </c>
      <c r="D37" s="12">
        <v>0.3957345971563981</v>
      </c>
      <c r="E37" s="16">
        <v>2451648</v>
      </c>
      <c r="F37" s="15">
        <v>182089</v>
      </c>
      <c r="G37" s="12">
        <v>0.4834123222748816</v>
      </c>
      <c r="H37" s="16">
        <v>3611071</v>
      </c>
      <c r="I37" s="15">
        <v>42255</v>
      </c>
      <c r="J37" s="12">
        <v>0.1208530805687204</v>
      </c>
      <c r="K37" s="16">
        <v>796077</v>
      </c>
      <c r="L37" s="15">
        <v>366988</v>
      </c>
    </row>
    <row r="38" spans="2:12">
      <c r="B38" s="17">
        <v>34</v>
      </c>
      <c r="C38" s="18">
        <v>141746</v>
      </c>
      <c r="D38" s="19">
        <v>0.3927444794952681</v>
      </c>
      <c r="E38" s="20">
        <v>2430029</v>
      </c>
      <c r="F38" s="18">
        <v>183222</v>
      </c>
      <c r="G38" s="19">
        <v>0.4858044164037856</v>
      </c>
      <c r="H38" s="20">
        <v>3624324</v>
      </c>
      <c r="I38" s="18">
        <v>42518</v>
      </c>
      <c r="J38" s="19">
        <v>0.1214511041009464</v>
      </c>
      <c r="K38" s="20">
        <v>798999</v>
      </c>
      <c r="L38" s="18">
        <v>367486</v>
      </c>
    </row>
    <row r="39" spans="2:12">
      <c r="B39">
        <v>35</v>
      </c>
      <c r="C39" s="15">
        <v>140844</v>
      </c>
      <c r="D39" s="12">
        <v>0.389763779527559</v>
      </c>
      <c r="E39" s="16">
        <v>2408445</v>
      </c>
      <c r="F39" s="15">
        <v>184349</v>
      </c>
      <c r="G39" s="12">
        <v>0.4881889763779528</v>
      </c>
      <c r="H39" s="16">
        <v>3637370</v>
      </c>
      <c r="I39" s="15">
        <v>42780</v>
      </c>
      <c r="J39" s="12">
        <v>0.1220472440944882</v>
      </c>
      <c r="K39" s="16">
        <v>801875</v>
      </c>
      <c r="L39" s="15">
        <v>367973</v>
      </c>
    </row>
    <row r="40" spans="2:12">
      <c r="B40" s="17">
        <v>36</v>
      </c>
      <c r="C40" s="18">
        <v>147012</v>
      </c>
      <c r="D40" s="19">
        <v>0.3867924528301887</v>
      </c>
      <c r="E40" s="20">
        <v>2507556</v>
      </c>
      <c r="F40" s="18">
        <v>194845</v>
      </c>
      <c r="G40" s="19">
        <v>0.4905660377358491</v>
      </c>
      <c r="H40" s="20">
        <v>3834727</v>
      </c>
      <c r="I40" s="18">
        <v>45215</v>
      </c>
      <c r="J40" s="19">
        <v>0.1226415094339623</v>
      </c>
      <c r="K40" s="20">
        <v>845383</v>
      </c>
      <c r="L40" s="18">
        <v>387072</v>
      </c>
    </row>
    <row r="41" spans="2:12">
      <c r="B41">
        <v>37</v>
      </c>
      <c r="C41" s="15">
        <v>132007</v>
      </c>
      <c r="D41" s="12">
        <v>0.3838304552590267</v>
      </c>
      <c r="E41" s="16">
        <v>2245900</v>
      </c>
      <c r="F41" s="15">
        <v>177159</v>
      </c>
      <c r="G41" s="12">
        <v>0.4929356357927787</v>
      </c>
      <c r="H41" s="16">
        <v>3477806</v>
      </c>
      <c r="I41" s="15">
        <v>41111</v>
      </c>
      <c r="J41" s="12">
        <v>0.1232339089481947</v>
      </c>
      <c r="K41" s="16">
        <v>766698</v>
      </c>
      <c r="L41" s="15">
        <v>350277</v>
      </c>
    </row>
    <row r="42" spans="2:12">
      <c r="B42" s="17">
        <v>38</v>
      </c>
      <c r="C42" s="18">
        <v>152091</v>
      </c>
      <c r="D42" s="19">
        <v>0.3808777429467085</v>
      </c>
      <c r="E42" s="20">
        <v>2581041</v>
      </c>
      <c r="F42" s="18">
        <v>206681</v>
      </c>
      <c r="G42" s="19">
        <v>0.4952978056426332</v>
      </c>
      <c r="H42" s="20">
        <v>4047062</v>
      </c>
      <c r="I42" s="18">
        <v>47962</v>
      </c>
      <c r="J42" s="19">
        <v>0.1238244514106583</v>
      </c>
      <c r="K42" s="20">
        <v>892193</v>
      </c>
      <c r="L42" s="18">
        <v>406734</v>
      </c>
    </row>
    <row r="43" spans="2:12">
      <c r="B43">
        <v>39</v>
      </c>
      <c r="C43" s="15">
        <v>144157</v>
      </c>
      <c r="D43" s="12">
        <v>0.3779342723004695</v>
      </c>
      <c r="E43" s="16">
        <v>2440195</v>
      </c>
      <c r="F43" s="15">
        <v>198363</v>
      </c>
      <c r="G43" s="12">
        <v>0.4976525821596245</v>
      </c>
      <c r="H43" s="16">
        <v>3874348</v>
      </c>
      <c r="I43" s="15">
        <v>46032</v>
      </c>
      <c r="J43" s="12">
        <v>0.1244131455399061</v>
      </c>
      <c r="K43" s="16">
        <v>854118</v>
      </c>
      <c r="L43" s="15">
        <v>388552</v>
      </c>
    </row>
    <row r="44" spans="2:12">
      <c r="B44" s="17">
        <v>40</v>
      </c>
      <c r="C44" s="18">
        <v>143204</v>
      </c>
      <c r="D44" s="19">
        <v>0.375</v>
      </c>
      <c r="E44" s="20">
        <v>2417927</v>
      </c>
      <c r="F44" s="18">
        <v>199531</v>
      </c>
      <c r="G44" s="19">
        <v>0.5</v>
      </c>
      <c r="H44" s="20">
        <v>3887282</v>
      </c>
      <c r="I44" s="18">
        <v>46303</v>
      </c>
      <c r="J44" s="19">
        <v>0.125</v>
      </c>
      <c r="K44" s="20">
        <v>856969</v>
      </c>
      <c r="L44" s="18">
        <v>389038</v>
      </c>
    </row>
    <row r="45" spans="2:12">
      <c r="B45">
        <v>41</v>
      </c>
      <c r="C45" s="15">
        <v>149097</v>
      </c>
      <c r="D45" s="12">
        <v>0.3720748829953198</v>
      </c>
      <c r="E45" s="16">
        <v>2511039</v>
      </c>
      <c r="F45" s="15">
        <v>210355</v>
      </c>
      <c r="G45" s="12">
        <v>0.5023400936037441</v>
      </c>
      <c r="H45" s="16">
        <v>4087758</v>
      </c>
      <c r="I45" s="15">
        <v>48814</v>
      </c>
      <c r="J45" s="12">
        <v>0.125585023400936</v>
      </c>
      <c r="K45" s="16">
        <v>901165</v>
      </c>
      <c r="L45" s="15">
        <v>408266</v>
      </c>
    </row>
    <row r="46" spans="2:12">
      <c r="B46" s="17">
        <v>42</v>
      </c>
      <c r="C46" s="18">
        <v>154899</v>
      </c>
      <c r="D46" s="19">
        <v>0.3691588785046729</v>
      </c>
      <c r="E46" s="20">
        <v>2602141</v>
      </c>
      <c r="F46" s="18">
        <v>221290</v>
      </c>
      <c r="G46" s="19">
        <v>0.5046728971962617</v>
      </c>
      <c r="H46" s="20">
        <v>4289352</v>
      </c>
      <c r="I46" s="18">
        <v>51352</v>
      </c>
      <c r="J46" s="19">
        <v>0.1261682242990654</v>
      </c>
      <c r="K46" s="20">
        <v>945607</v>
      </c>
      <c r="L46" s="18">
        <v>427541</v>
      </c>
    </row>
    <row r="47" spans="2:12">
      <c r="B47">
        <v>43</v>
      </c>
      <c r="C47" s="15">
        <v>147103</v>
      </c>
      <c r="D47" s="12">
        <v>0.3662519440124417</v>
      </c>
      <c r="E47" s="16">
        <v>2464909</v>
      </c>
      <c r="F47" s="15">
        <v>212796</v>
      </c>
      <c r="G47" s="12">
        <v>0.5069984447900466</v>
      </c>
      <c r="H47" s="16">
        <v>4114260</v>
      </c>
      <c r="I47" s="15">
        <v>49381</v>
      </c>
      <c r="J47" s="12">
        <v>0.1267496111975117</v>
      </c>
      <c r="K47" s="16">
        <v>907007</v>
      </c>
      <c r="L47" s="15">
        <v>409280</v>
      </c>
    </row>
    <row r="48" spans="2:12">
      <c r="B48" s="17">
        <v>44</v>
      </c>
      <c r="C48" s="18">
        <v>139398</v>
      </c>
      <c r="D48" s="19">
        <v>0.3633540372670808</v>
      </c>
      <c r="E48" s="20">
        <v>2329887</v>
      </c>
      <c r="F48" s="18">
        <v>204189</v>
      </c>
      <c r="G48" s="19">
        <v>0.5093167701863354</v>
      </c>
      <c r="H48" s="20">
        <v>3937831</v>
      </c>
      <c r="I48" s="18">
        <v>47383</v>
      </c>
      <c r="J48" s="19">
        <v>0.1273291925465838</v>
      </c>
      <c r="K48" s="20">
        <v>868113</v>
      </c>
      <c r="L48" s="18">
        <v>390970</v>
      </c>
    </row>
    <row r="49" spans="2:12">
      <c r="B49">
        <v>45</v>
      </c>
      <c r="C49" s="15">
        <v>131785</v>
      </c>
      <c r="D49" s="12">
        <v>0.3604651162790697</v>
      </c>
      <c r="E49" s="16">
        <v>2197061</v>
      </c>
      <c r="F49" s="15">
        <v>195467</v>
      </c>
      <c r="G49" s="12">
        <v>0.5116279069767441</v>
      </c>
      <c r="H49" s="16">
        <v>3760083</v>
      </c>
      <c r="I49" s="15">
        <v>45360</v>
      </c>
      <c r="J49" s="12">
        <v>0.127906976744186</v>
      </c>
      <c r="K49" s="16">
        <v>828927</v>
      </c>
      <c r="L49" s="15">
        <v>372612</v>
      </c>
    </row>
    <row r="50" spans="2:12">
      <c r="B50" s="17">
        <v>46</v>
      </c>
      <c r="C50" s="18">
        <v>130881</v>
      </c>
      <c r="D50" s="19">
        <v>0.3575851393188855</v>
      </c>
      <c r="E50" s="20">
        <v>2176462</v>
      </c>
      <c r="F50" s="18">
        <v>196571</v>
      </c>
      <c r="G50" s="19">
        <v>0.5139318885448917</v>
      </c>
      <c r="H50" s="20">
        <v>3771736</v>
      </c>
      <c r="I50" s="18">
        <v>45616</v>
      </c>
      <c r="J50" s="19">
        <v>0.1284829721362229</v>
      </c>
      <c r="K50" s="20">
        <v>831496</v>
      </c>
      <c r="L50" s="18">
        <v>373068</v>
      </c>
    </row>
    <row r="51" spans="2:12">
      <c r="B51">
        <v>47</v>
      </c>
      <c r="C51" s="15">
        <v>129978</v>
      </c>
      <c r="D51" s="12">
        <v>0.3547140649149922</v>
      </c>
      <c r="E51" s="16">
        <v>2155965</v>
      </c>
      <c r="F51" s="15">
        <v>197675</v>
      </c>
      <c r="G51" s="12">
        <v>0.5162287480680061</v>
      </c>
      <c r="H51" s="16">
        <v>3783290</v>
      </c>
      <c r="I51" s="15">
        <v>45872</v>
      </c>
      <c r="J51" s="12">
        <v>0.1290571870170015</v>
      </c>
      <c r="K51" s="16">
        <v>834043</v>
      </c>
      <c r="L51" s="15">
        <v>373525</v>
      </c>
    </row>
    <row r="52" spans="2:12">
      <c r="B52" s="17">
        <v>48</v>
      </c>
      <c r="C52" s="18">
        <v>135603</v>
      </c>
      <c r="D52" s="19">
        <v>0.3518518518518519</v>
      </c>
      <c r="E52" s="20">
        <v>2243557</v>
      </c>
      <c r="F52" s="18">
        <v>208828</v>
      </c>
      <c r="G52" s="19">
        <v>0.5185185185185185</v>
      </c>
      <c r="H52" s="20">
        <v>3986629</v>
      </c>
      <c r="I52" s="18">
        <v>48460</v>
      </c>
      <c r="J52" s="19">
        <v>0.1296296296296296</v>
      </c>
      <c r="K52" s="20">
        <v>878871</v>
      </c>
      <c r="L52" s="18">
        <v>392891</v>
      </c>
    </row>
    <row r="53" spans="2:12">
      <c r="B53">
        <v>49</v>
      </c>
      <c r="C53" s="15">
        <v>121693</v>
      </c>
      <c r="D53" s="12">
        <v>0.3489984591679506</v>
      </c>
      <c r="E53" s="16">
        <v>2008313</v>
      </c>
      <c r="F53" s="15">
        <v>189771</v>
      </c>
      <c r="G53" s="12">
        <v>0.5208012326656394</v>
      </c>
      <c r="H53" s="16">
        <v>3613634</v>
      </c>
      <c r="I53" s="15">
        <v>44038</v>
      </c>
      <c r="J53" s="12">
        <v>0.1302003081664098</v>
      </c>
      <c r="K53" s="16">
        <v>796642</v>
      </c>
      <c r="L53" s="15">
        <v>355502</v>
      </c>
    </row>
    <row r="54" spans="2:12">
      <c r="B54" s="17">
        <v>50</v>
      </c>
      <c r="C54" s="18">
        <v>140146</v>
      </c>
      <c r="D54" s="19">
        <v>0.3461538461538462</v>
      </c>
      <c r="E54" s="20">
        <v>2306989</v>
      </c>
      <c r="F54" s="18">
        <v>221307</v>
      </c>
      <c r="G54" s="19">
        <v>0.5230769230769231</v>
      </c>
      <c r="H54" s="20">
        <v>4203452</v>
      </c>
      <c r="I54" s="18">
        <v>51356</v>
      </c>
      <c r="J54" s="19">
        <v>0.1307692307692308</v>
      </c>
      <c r="K54" s="20">
        <v>926670</v>
      </c>
      <c r="L54" s="18">
        <v>412809</v>
      </c>
    </row>
    <row r="55" spans="2:12">
      <c r="B55">
        <v>51</v>
      </c>
      <c r="C55" s="15">
        <v>132765</v>
      </c>
      <c r="D55" s="12">
        <v>0.3433179723502304</v>
      </c>
      <c r="E55" s="16">
        <v>2179941</v>
      </c>
      <c r="F55" s="15">
        <v>212299</v>
      </c>
      <c r="G55" s="12">
        <v>0.5253456221198157</v>
      </c>
      <c r="H55" s="16">
        <v>4022144</v>
      </c>
      <c r="I55" s="15">
        <v>49266</v>
      </c>
      <c r="J55" s="12">
        <v>0.1313364055299539</v>
      </c>
      <c r="K55" s="16">
        <v>886700</v>
      </c>
      <c r="L55" s="15">
        <v>394330</v>
      </c>
    </row>
    <row r="56" spans="2:12">
      <c r="B56" s="17">
        <v>52</v>
      </c>
      <c r="C56" s="18">
        <v>131821</v>
      </c>
      <c r="D56" s="19">
        <v>0.3404907975460122</v>
      </c>
      <c r="E56" s="20">
        <v>2158950</v>
      </c>
      <c r="F56" s="18">
        <v>213455</v>
      </c>
      <c r="G56" s="19">
        <v>0.5276073619631902</v>
      </c>
      <c r="H56" s="20">
        <v>4033781</v>
      </c>
      <c r="I56" s="18">
        <v>49534</v>
      </c>
      <c r="J56" s="19">
        <v>0.1319018404907976</v>
      </c>
      <c r="K56" s="20">
        <v>889265</v>
      </c>
      <c r="L56" s="18">
        <v>394810</v>
      </c>
    </row>
    <row r="57" spans="2:12">
      <c r="B57">
        <v>53</v>
      </c>
      <c r="C57" s="15">
        <v>137178</v>
      </c>
      <c r="D57" s="12">
        <v>0.3376722817764165</v>
      </c>
      <c r="E57" s="16">
        <v>2240997</v>
      </c>
      <c r="F57" s="15">
        <v>224941</v>
      </c>
      <c r="G57" s="12">
        <v>0.5298621745788668</v>
      </c>
      <c r="H57" s="16">
        <v>4240070</v>
      </c>
      <c r="I57" s="15">
        <v>52199</v>
      </c>
      <c r="J57" s="12">
        <v>0.1324655436447167</v>
      </c>
      <c r="K57" s="16">
        <v>934743</v>
      </c>
      <c r="L57" s="15">
        <v>414318</v>
      </c>
    </row>
    <row r="58" spans="2:12">
      <c r="B58" s="17">
        <v>54</v>
      </c>
      <c r="C58" s="18">
        <v>142446</v>
      </c>
      <c r="D58" s="19">
        <v>0.3348623853211009</v>
      </c>
      <c r="E58" s="20">
        <v>2321159</v>
      </c>
      <c r="F58" s="18">
        <v>236539</v>
      </c>
      <c r="G58" s="19">
        <v>0.5321100917431193</v>
      </c>
      <c r="H58" s="20">
        <v>4447379</v>
      </c>
      <c r="I58" s="18">
        <v>54891</v>
      </c>
      <c r="J58" s="19">
        <v>0.1330275229357798</v>
      </c>
      <c r="K58" s="20">
        <v>980445</v>
      </c>
      <c r="L58" s="18">
        <v>433876</v>
      </c>
    </row>
    <row r="59" spans="2:12">
      <c r="B59">
        <v>55</v>
      </c>
      <c r="C59" s="15">
        <v>135204</v>
      </c>
      <c r="D59" s="12">
        <v>0.3320610687022901</v>
      </c>
      <c r="E59" s="16">
        <v>2197559</v>
      </c>
      <c r="F59" s="15">
        <v>227360</v>
      </c>
      <c r="G59" s="12">
        <v>0.5343511450381679</v>
      </c>
      <c r="H59" s="16">
        <v>4263964</v>
      </c>
      <c r="I59" s="15">
        <v>52761</v>
      </c>
      <c r="J59" s="12">
        <v>0.133587786259542</v>
      </c>
      <c r="K59" s="16">
        <v>940010</v>
      </c>
      <c r="L59" s="15">
        <v>415325</v>
      </c>
    </row>
    <row r="60" spans="2:12">
      <c r="B60" s="17">
        <v>56</v>
      </c>
      <c r="C60" s="18">
        <v>128052</v>
      </c>
      <c r="D60" s="19">
        <v>0.3292682926829268</v>
      </c>
      <c r="E60" s="20">
        <v>2076046</v>
      </c>
      <c r="F60" s="18">
        <v>218068</v>
      </c>
      <c r="G60" s="19">
        <v>0.5365853658536586</v>
      </c>
      <c r="H60" s="20">
        <v>4079342</v>
      </c>
      <c r="I60" s="18">
        <v>50604</v>
      </c>
      <c r="J60" s="19">
        <v>0.1341463414634146</v>
      </c>
      <c r="K60" s="20">
        <v>899310</v>
      </c>
      <c r="L60" s="18">
        <v>396724</v>
      </c>
    </row>
    <row r="61" spans="2:12">
      <c r="B61">
        <v>57</v>
      </c>
      <c r="C61" s="15">
        <v>120992</v>
      </c>
      <c r="D61" s="12">
        <v>0.3264840182648401</v>
      </c>
      <c r="E61" s="16">
        <v>1956605</v>
      </c>
      <c r="F61" s="15">
        <v>208664</v>
      </c>
      <c r="G61" s="12">
        <v>0.5388127853881278</v>
      </c>
      <c r="H61" s="16">
        <v>3893529</v>
      </c>
      <c r="I61" s="15">
        <v>48422</v>
      </c>
      <c r="J61" s="12">
        <v>0.134703196347032</v>
      </c>
      <c r="K61" s="16">
        <v>858346</v>
      </c>
      <c r="L61" s="15">
        <v>378078</v>
      </c>
    </row>
    <row r="62" spans="2:12">
      <c r="B62" s="17">
        <v>58</v>
      </c>
      <c r="C62" s="18">
        <v>120098</v>
      </c>
      <c r="D62" s="19">
        <v>0.3237082066869301</v>
      </c>
      <c r="E62" s="20">
        <v>1937223</v>
      </c>
      <c r="F62" s="18">
        <v>209759</v>
      </c>
      <c r="G62" s="19">
        <v>0.5410334346504559</v>
      </c>
      <c r="H62" s="20">
        <v>3904039</v>
      </c>
      <c r="I62" s="18">
        <v>48676</v>
      </c>
      <c r="J62" s="19">
        <v>0.135258358662614</v>
      </c>
      <c r="K62" s="20">
        <v>860663</v>
      </c>
      <c r="L62" s="18">
        <v>378533</v>
      </c>
    </row>
    <row r="63" spans="2:12">
      <c r="B63">
        <v>59</v>
      </c>
      <c r="C63" s="15">
        <v>119204</v>
      </c>
      <c r="D63" s="12">
        <v>0.3209408194233688</v>
      </c>
      <c r="E63" s="16">
        <v>1917939</v>
      </c>
      <c r="F63" s="15">
        <v>210854</v>
      </c>
      <c r="G63" s="12">
        <v>0.543247344461305</v>
      </c>
      <c r="H63" s="16">
        <v>3914457</v>
      </c>
      <c r="I63" s="15">
        <v>48930</v>
      </c>
      <c r="J63" s="12">
        <v>0.1358118361153262</v>
      </c>
      <c r="K63" s="16">
        <v>862960</v>
      </c>
      <c r="L63" s="15">
        <v>378988</v>
      </c>
    </row>
    <row r="64" spans="2:12">
      <c r="B64" s="17">
        <v>60</v>
      </c>
      <c r="C64" s="18">
        <v>124298</v>
      </c>
      <c r="D64" s="19">
        <v>0.3181818181818181</v>
      </c>
      <c r="E64" s="20">
        <v>1994817</v>
      </c>
      <c r="F64" s="18">
        <v>222670</v>
      </c>
      <c r="G64" s="19">
        <v>0.5454545454545455</v>
      </c>
      <c r="H64" s="20">
        <v>4123353</v>
      </c>
      <c r="I64" s="18">
        <v>51672</v>
      </c>
      <c r="J64" s="19">
        <v>0.1363636363636364</v>
      </c>
      <c r="K64" s="20">
        <v>909012</v>
      </c>
      <c r="L64" s="18">
        <v>398640</v>
      </c>
    </row>
  </sheetData>
  <mergeCells count="1">
    <mergeCell ref="B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D9488"/>
  </sheetPr>
  <dimension ref="B2:Q68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8" width="14.7109375" customWidth="1"/>
  </cols>
  <sheetData>
    <row r="2" spans="2:17">
      <c r="B2" s="1" t="s">
        <v>162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7">
      <c r="B4" s="21" t="s">
        <v>163</v>
      </c>
      <c r="C4" s="21"/>
      <c r="D4" s="21" t="s">
        <v>164</v>
      </c>
      <c r="E4" s="21"/>
      <c r="F4" s="21" t="s">
        <v>165</v>
      </c>
      <c r="G4" s="21"/>
      <c r="H4" s="21" t="s">
        <v>166</v>
      </c>
      <c r="I4" s="21"/>
      <c r="J4" s="21" t="s">
        <v>167</v>
      </c>
      <c r="K4" s="21"/>
    </row>
    <row r="5" spans="2:17">
      <c r="B5" s="22">
        <v>33364446</v>
      </c>
      <c r="C5" s="22"/>
      <c r="D5" s="22">
        <v>501045756</v>
      </c>
      <c r="E5" s="22"/>
      <c r="F5" s="22">
        <v>421420265</v>
      </c>
      <c r="G5" s="22"/>
      <c r="H5" s="23">
        <v>0.4615384615384616</v>
      </c>
      <c r="I5" s="23"/>
      <c r="J5" s="24" t="s">
        <v>168</v>
      </c>
      <c r="K5" s="24"/>
    </row>
    <row r="8" spans="2:17" ht="35" customHeight="1">
      <c r="B8" s="25" t="s">
        <v>151</v>
      </c>
      <c r="C8" s="25" t="s">
        <v>169</v>
      </c>
      <c r="D8" s="25" t="s">
        <v>170</v>
      </c>
      <c r="E8" s="25" t="s">
        <v>171</v>
      </c>
      <c r="F8" s="25" t="s">
        <v>172</v>
      </c>
      <c r="G8" s="25" t="s">
        <v>173</v>
      </c>
      <c r="H8" s="25" t="s">
        <v>174</v>
      </c>
      <c r="I8" s="25" t="s">
        <v>175</v>
      </c>
      <c r="J8" s="25" t="s">
        <v>176</v>
      </c>
      <c r="K8" s="25" t="s">
        <v>177</v>
      </c>
      <c r="L8" s="25" t="s">
        <v>178</v>
      </c>
      <c r="M8" s="25" t="s">
        <v>179</v>
      </c>
      <c r="N8" s="25" t="s">
        <v>180</v>
      </c>
      <c r="O8" s="25" t="s">
        <v>181</v>
      </c>
      <c r="P8" s="25" t="s">
        <v>182</v>
      </c>
      <c r="Q8" s="25" t="s">
        <v>183</v>
      </c>
    </row>
    <row r="9" spans="2:17">
      <c r="B9">
        <v>1</v>
      </c>
      <c r="C9" s="15">
        <v>216960</v>
      </c>
      <c r="D9" s="16">
        <v>2142695</v>
      </c>
      <c r="E9" s="15">
        <v>23326</v>
      </c>
      <c r="F9" s="13">
        <v>5.97</v>
      </c>
      <c r="G9" s="16">
        <v>836226</v>
      </c>
      <c r="H9" s="16">
        <v>466591</v>
      </c>
      <c r="I9" s="15">
        <v>10438</v>
      </c>
      <c r="J9" s="15">
        <v>12888</v>
      </c>
      <c r="K9" s="12">
        <v>0.4475</v>
      </c>
      <c r="L9" s="12">
        <v>0.6132599515810587</v>
      </c>
      <c r="M9" s="26">
        <v>0.9</v>
      </c>
      <c r="N9" s="16">
        <v>2609286</v>
      </c>
      <c r="O9" s="16">
        <v>1796172</v>
      </c>
      <c r="P9" s="16">
        <v>2609286</v>
      </c>
      <c r="Q9" s="16">
        <v>1796172</v>
      </c>
    </row>
    <row r="10" spans="2:17">
      <c r="B10" s="17">
        <v>2</v>
      </c>
      <c r="C10" s="18">
        <v>216920</v>
      </c>
      <c r="D10" s="20">
        <v>2142300</v>
      </c>
      <c r="E10" s="18">
        <v>37118</v>
      </c>
      <c r="F10" s="20">
        <v>5.96</v>
      </c>
      <c r="G10" s="20">
        <v>1327259</v>
      </c>
      <c r="H10" s="20">
        <v>740900</v>
      </c>
      <c r="I10" s="18">
        <v>16518</v>
      </c>
      <c r="J10" s="18">
        <v>20600</v>
      </c>
      <c r="K10" s="19">
        <v>0.445</v>
      </c>
      <c r="L10" s="19">
        <v>0.6238303657321372</v>
      </c>
      <c r="M10" s="17">
        <v>1.05</v>
      </c>
      <c r="N10" s="20">
        <v>2883199</v>
      </c>
      <c r="O10" s="20">
        <v>2037216</v>
      </c>
      <c r="P10" s="20">
        <v>5492485</v>
      </c>
      <c r="Q10" s="20">
        <v>3833387</v>
      </c>
    </row>
    <row r="11" spans="2:17">
      <c r="B11">
        <v>3</v>
      </c>
      <c r="C11" s="15">
        <v>216880</v>
      </c>
      <c r="D11" s="16">
        <v>2141905</v>
      </c>
      <c r="E11" s="15">
        <v>48434</v>
      </c>
      <c r="F11" s="13">
        <v>5.94</v>
      </c>
      <c r="G11" s="16">
        <v>1727519</v>
      </c>
      <c r="H11" s="16">
        <v>964756</v>
      </c>
      <c r="I11" s="15">
        <v>21432</v>
      </c>
      <c r="J11" s="15">
        <v>27002</v>
      </c>
      <c r="K11" s="12">
        <v>0.4425</v>
      </c>
      <c r="L11" s="12">
        <v>0.6403412132054993</v>
      </c>
      <c r="M11" s="26">
        <v>1</v>
      </c>
      <c r="N11" s="16">
        <v>3106661</v>
      </c>
      <c r="O11" s="16">
        <v>2233862</v>
      </c>
      <c r="P11" s="16">
        <v>8599146</v>
      </c>
      <c r="Q11" s="16">
        <v>6067249</v>
      </c>
    </row>
    <row r="12" spans="2:17">
      <c r="B12" s="17">
        <v>4</v>
      </c>
      <c r="C12" s="18">
        <v>216840</v>
      </c>
      <c r="D12" s="20">
        <v>2141511</v>
      </c>
      <c r="E12" s="18">
        <v>65850</v>
      </c>
      <c r="F12" s="20">
        <v>5.93</v>
      </c>
      <c r="G12" s="20">
        <v>2342741</v>
      </c>
      <c r="H12" s="20">
        <v>1308909</v>
      </c>
      <c r="I12" s="18">
        <v>28974</v>
      </c>
      <c r="J12" s="18">
        <v>36876</v>
      </c>
      <c r="K12" s="19">
        <v>0.44</v>
      </c>
      <c r="L12" s="19">
        <v>0.6626144690306528</v>
      </c>
      <c r="M12" s="17">
        <v>1</v>
      </c>
      <c r="N12" s="20">
        <v>3450420</v>
      </c>
      <c r="O12" s="20">
        <v>2536370</v>
      </c>
      <c r="P12" s="20">
        <v>12049566</v>
      </c>
      <c r="Q12" s="20">
        <v>8603618</v>
      </c>
    </row>
    <row r="13" spans="2:17">
      <c r="B13">
        <v>5</v>
      </c>
      <c r="C13" s="15">
        <v>216800</v>
      </c>
      <c r="D13" s="16">
        <v>2141118</v>
      </c>
      <c r="E13" s="15">
        <v>92490</v>
      </c>
      <c r="F13" s="13">
        <v>5.91</v>
      </c>
      <c r="G13" s="16">
        <v>3282166</v>
      </c>
      <c r="H13" s="16">
        <v>1834574</v>
      </c>
      <c r="I13" s="15">
        <v>40464</v>
      </c>
      <c r="J13" s="15">
        <v>52026</v>
      </c>
      <c r="K13" s="12">
        <v>0.4375</v>
      </c>
      <c r="L13" s="12">
        <v>0.6873855309693472</v>
      </c>
      <c r="M13" s="26">
        <v>1.05</v>
      </c>
      <c r="N13" s="16">
        <v>3975692</v>
      </c>
      <c r="O13" s="16">
        <v>2998609</v>
      </c>
      <c r="P13" s="16">
        <v>16025258</v>
      </c>
      <c r="Q13" s="16">
        <v>11602227</v>
      </c>
    </row>
    <row r="14" spans="2:17">
      <c r="B14" s="17">
        <v>6</v>
      </c>
      <c r="C14" s="18">
        <v>216760</v>
      </c>
      <c r="D14" s="20">
        <v>2140726</v>
      </c>
      <c r="E14" s="18">
        <v>126350</v>
      </c>
      <c r="F14" s="20">
        <v>5.9</v>
      </c>
      <c r="G14" s="20">
        <v>4472383</v>
      </c>
      <c r="H14" s="20">
        <v>2500935</v>
      </c>
      <c r="I14" s="18">
        <v>54962</v>
      </c>
      <c r="J14" s="18">
        <v>71388</v>
      </c>
      <c r="K14" s="19">
        <v>0.435</v>
      </c>
      <c r="L14" s="19">
        <v>0.7096587867945008</v>
      </c>
      <c r="M14" s="17">
        <v>1.1</v>
      </c>
      <c r="N14" s="20">
        <v>4641661</v>
      </c>
      <c r="O14" s="20">
        <v>3584662</v>
      </c>
      <c r="P14" s="20">
        <v>20666919</v>
      </c>
      <c r="Q14" s="20">
        <v>15186889</v>
      </c>
    </row>
    <row r="15" spans="2:17">
      <c r="B15">
        <v>7</v>
      </c>
      <c r="C15" s="15">
        <v>216721</v>
      </c>
      <c r="D15" s="16">
        <v>2140335</v>
      </c>
      <c r="E15" s="15">
        <v>152492</v>
      </c>
      <c r="F15" s="13">
        <v>5.88</v>
      </c>
      <c r="G15" s="16">
        <v>5384056</v>
      </c>
      <c r="H15" s="16">
        <v>3012042</v>
      </c>
      <c r="I15" s="15">
        <v>65953</v>
      </c>
      <c r="J15" s="15">
        <v>86539</v>
      </c>
      <c r="K15" s="12">
        <v>0.4325</v>
      </c>
      <c r="L15" s="12">
        <v>0.7261696342678627</v>
      </c>
      <c r="M15" s="26">
        <v>1.05</v>
      </c>
      <c r="N15" s="16">
        <v>5152377</v>
      </c>
      <c r="O15" s="16">
        <v>4034092</v>
      </c>
      <c r="P15" s="16">
        <v>25819296</v>
      </c>
      <c r="Q15" s="16">
        <v>19220981</v>
      </c>
    </row>
    <row r="16" spans="2:17">
      <c r="B16" s="17">
        <v>8</v>
      </c>
      <c r="C16" s="18">
        <v>216681</v>
      </c>
      <c r="D16" s="20">
        <v>2139944</v>
      </c>
      <c r="E16" s="18">
        <v>177361</v>
      </c>
      <c r="F16" s="20">
        <v>5.87</v>
      </c>
      <c r="G16" s="20">
        <v>6246230</v>
      </c>
      <c r="H16" s="20">
        <v>3495882</v>
      </c>
      <c r="I16" s="18">
        <v>76265</v>
      </c>
      <c r="J16" s="18">
        <v>101096</v>
      </c>
      <c r="K16" s="19">
        <v>0.43</v>
      </c>
      <c r="L16" s="19">
        <v>0.7367400484189413</v>
      </c>
      <c r="M16" s="17">
        <v>1</v>
      </c>
      <c r="N16" s="20">
        <v>5635827</v>
      </c>
      <c r="O16" s="20">
        <v>4459528</v>
      </c>
      <c r="P16" s="20">
        <v>31455123</v>
      </c>
      <c r="Q16" s="20">
        <v>23680508</v>
      </c>
    </row>
    <row r="17" spans="2:17">
      <c r="B17">
        <v>9</v>
      </c>
      <c r="C17" s="15">
        <v>216642</v>
      </c>
      <c r="D17" s="16">
        <v>2139555</v>
      </c>
      <c r="E17" s="15">
        <v>199052</v>
      </c>
      <c r="F17" s="13">
        <v>5.85</v>
      </c>
      <c r="G17" s="16">
        <v>6992336</v>
      </c>
      <c r="H17" s="16">
        <v>3915144</v>
      </c>
      <c r="I17" s="15">
        <v>85095</v>
      </c>
      <c r="J17" s="15">
        <v>113957</v>
      </c>
      <c r="K17" s="12">
        <v>0.4275</v>
      </c>
      <c r="L17" s="12">
        <v>0.742886119023365</v>
      </c>
      <c r="M17" s="26">
        <v>0.95</v>
      </c>
      <c r="N17" s="16">
        <v>6054699</v>
      </c>
      <c r="O17" s="16">
        <v>4828135</v>
      </c>
      <c r="P17" s="16">
        <v>37509822</v>
      </c>
      <c r="Q17" s="16">
        <v>28508643</v>
      </c>
    </row>
    <row r="18" spans="2:17">
      <c r="B18" s="17">
        <v>10</v>
      </c>
      <c r="C18" s="18">
        <v>216603</v>
      </c>
      <c r="D18" s="20">
        <v>2139167</v>
      </c>
      <c r="E18" s="18">
        <v>227844</v>
      </c>
      <c r="F18" s="20">
        <v>5.84</v>
      </c>
      <c r="G18" s="20">
        <v>7983469</v>
      </c>
      <c r="H18" s="20">
        <v>4472012</v>
      </c>
      <c r="I18" s="18">
        <v>96834</v>
      </c>
      <c r="J18" s="18">
        <v>131010</v>
      </c>
      <c r="K18" s="19">
        <v>0.425</v>
      </c>
      <c r="L18" s="19">
        <v>0.7462613360029329</v>
      </c>
      <c r="M18" s="17">
        <v>0.95</v>
      </c>
      <c r="N18" s="20">
        <v>6611178</v>
      </c>
      <c r="O18" s="20">
        <v>5317837</v>
      </c>
      <c r="P18" s="20">
        <v>44121000</v>
      </c>
      <c r="Q18" s="20">
        <v>33826480</v>
      </c>
    </row>
    <row r="19" spans="2:17">
      <c r="B19">
        <v>11</v>
      </c>
      <c r="C19" s="15">
        <v>216563</v>
      </c>
      <c r="D19" s="16">
        <v>2138779</v>
      </c>
      <c r="E19" s="15">
        <v>253883</v>
      </c>
      <c r="F19" s="13">
        <v>5.83</v>
      </c>
      <c r="G19" s="16">
        <v>8873319</v>
      </c>
      <c r="H19" s="16">
        <v>4972588</v>
      </c>
      <c r="I19" s="15">
        <v>107266</v>
      </c>
      <c r="J19" s="15">
        <v>146617</v>
      </c>
      <c r="K19" s="12">
        <v>0.4225</v>
      </c>
      <c r="L19" s="12">
        <v>0.7480569408703956</v>
      </c>
      <c r="M19" s="26">
        <v>0.95</v>
      </c>
      <c r="N19" s="16">
        <v>7111367</v>
      </c>
      <c r="O19" s="16">
        <v>5758003</v>
      </c>
      <c r="P19" s="16">
        <v>51232367</v>
      </c>
      <c r="Q19" s="16">
        <v>39584483</v>
      </c>
    </row>
    <row r="20" spans="2:17">
      <c r="B20" s="17">
        <v>12</v>
      </c>
      <c r="C20" s="18">
        <v>216524</v>
      </c>
      <c r="D20" s="20">
        <v>2138392</v>
      </c>
      <c r="E20" s="18">
        <v>290621</v>
      </c>
      <c r="F20" s="20">
        <v>5.81</v>
      </c>
      <c r="G20" s="20">
        <v>10131556</v>
      </c>
      <c r="H20" s="20">
        <v>5680113</v>
      </c>
      <c r="I20" s="18">
        <v>122061</v>
      </c>
      <c r="J20" s="18">
        <v>168560</v>
      </c>
      <c r="K20" s="19">
        <v>0.42</v>
      </c>
      <c r="L20" s="19">
        <v>0.7489960723613573</v>
      </c>
      <c r="M20" s="17">
        <v>1</v>
      </c>
      <c r="N20" s="20">
        <v>7818505</v>
      </c>
      <c r="O20" s="20">
        <v>6380285</v>
      </c>
      <c r="P20" s="20">
        <v>59050873</v>
      </c>
      <c r="Q20" s="20">
        <v>45964768</v>
      </c>
    </row>
    <row r="21" spans="2:17">
      <c r="B21">
        <v>13</v>
      </c>
      <c r="C21" s="15">
        <v>216485</v>
      </c>
      <c r="D21" s="16">
        <v>2138007</v>
      </c>
      <c r="E21" s="15">
        <v>280217</v>
      </c>
      <c r="F21" s="13">
        <v>5.8</v>
      </c>
      <c r="G21" s="16">
        <v>9744107</v>
      </c>
      <c r="H21" s="16">
        <v>5465206</v>
      </c>
      <c r="I21" s="15">
        <v>116991</v>
      </c>
      <c r="J21" s="15">
        <v>163226</v>
      </c>
      <c r="K21" s="12">
        <v>0.4175</v>
      </c>
      <c r="L21" s="12">
        <v>0.7494828823047655</v>
      </c>
      <c r="M21" s="26">
        <v>0.9</v>
      </c>
      <c r="N21" s="16">
        <v>7603213</v>
      </c>
      <c r="O21" s="16">
        <v>6190828</v>
      </c>
      <c r="P21" s="16">
        <v>66654086</v>
      </c>
      <c r="Q21" s="16">
        <v>52155595</v>
      </c>
    </row>
    <row r="22" spans="2:17">
      <c r="B22" s="17">
        <v>14</v>
      </c>
      <c r="C22" s="18">
        <v>216446</v>
      </c>
      <c r="D22" s="20">
        <v>2137622</v>
      </c>
      <c r="E22" s="18">
        <v>342394</v>
      </c>
      <c r="F22" s="20">
        <v>5.78</v>
      </c>
      <c r="G22" s="20">
        <v>11876006</v>
      </c>
      <c r="H22" s="20">
        <v>6663738</v>
      </c>
      <c r="I22" s="18">
        <v>142094</v>
      </c>
      <c r="J22" s="18">
        <v>200300</v>
      </c>
      <c r="K22" s="19">
        <v>0.415</v>
      </c>
      <c r="L22" s="19">
        <v>0.7497340568107812</v>
      </c>
      <c r="M22" s="17">
        <v>1.05</v>
      </c>
      <c r="N22" s="20">
        <v>8801360</v>
      </c>
      <c r="O22" s="20">
        <v>7245197</v>
      </c>
      <c r="P22" s="20">
        <v>75455446</v>
      </c>
      <c r="Q22" s="20">
        <v>59400792</v>
      </c>
    </row>
    <row r="23" spans="2:17">
      <c r="B23">
        <v>15</v>
      </c>
      <c r="C23" s="15">
        <v>216407</v>
      </c>
      <c r="D23" s="16">
        <v>2137238</v>
      </c>
      <c r="E23" s="15">
        <v>339289</v>
      </c>
      <c r="F23" s="13">
        <v>5.77</v>
      </c>
      <c r="G23" s="16">
        <v>11738462</v>
      </c>
      <c r="H23" s="16">
        <v>6589326</v>
      </c>
      <c r="I23" s="15">
        <v>139957</v>
      </c>
      <c r="J23" s="15">
        <v>199332</v>
      </c>
      <c r="K23" s="12">
        <v>0.4125</v>
      </c>
      <c r="L23" s="12">
        <v>0.7498633423208398</v>
      </c>
      <c r="M23" s="26">
        <v>1</v>
      </c>
      <c r="N23" s="16">
        <v>8726564</v>
      </c>
      <c r="O23" s="16">
        <v>7179376</v>
      </c>
      <c r="P23" s="16">
        <v>84182009</v>
      </c>
      <c r="Q23" s="16">
        <v>66580168</v>
      </c>
    </row>
    <row r="24" spans="2:17">
      <c r="B24" s="17">
        <v>16</v>
      </c>
      <c r="C24" s="18">
        <v>216368</v>
      </c>
      <c r="D24" s="20">
        <v>2136855</v>
      </c>
      <c r="E24" s="18">
        <v>349258</v>
      </c>
      <c r="F24" s="20">
        <v>5.75</v>
      </c>
      <c r="G24" s="20">
        <v>12052752</v>
      </c>
      <c r="H24" s="20">
        <v>6768581</v>
      </c>
      <c r="I24" s="18">
        <v>143196</v>
      </c>
      <c r="J24" s="18">
        <v>206062</v>
      </c>
      <c r="K24" s="19">
        <v>0.41</v>
      </c>
      <c r="L24" s="19">
        <v>0.749929806491155</v>
      </c>
      <c r="M24" s="17">
        <v>1</v>
      </c>
      <c r="N24" s="20">
        <v>8905435</v>
      </c>
      <c r="O24" s="20">
        <v>7336783</v>
      </c>
      <c r="P24" s="20">
        <v>93087445</v>
      </c>
      <c r="Q24" s="20">
        <v>73916951</v>
      </c>
    </row>
    <row r="25" spans="2:17">
      <c r="B25">
        <v>17</v>
      </c>
      <c r="C25" s="15">
        <v>216330</v>
      </c>
      <c r="D25" s="16">
        <v>2136472</v>
      </c>
      <c r="E25" s="15">
        <v>374242</v>
      </c>
      <c r="F25" s="13">
        <v>5.74</v>
      </c>
      <c r="G25" s="16">
        <v>12882230</v>
      </c>
      <c r="H25" s="16">
        <v>7237412</v>
      </c>
      <c r="I25" s="15">
        <v>152504</v>
      </c>
      <c r="J25" s="15">
        <v>221738</v>
      </c>
      <c r="K25" s="12">
        <v>0.4075</v>
      </c>
      <c r="L25" s="12">
        <v>0.7499639532430772</v>
      </c>
      <c r="M25" s="26">
        <v>1.05</v>
      </c>
      <c r="N25" s="16">
        <v>9373885</v>
      </c>
      <c r="O25" s="16">
        <v>7749019</v>
      </c>
      <c r="P25" s="16">
        <v>102461329</v>
      </c>
      <c r="Q25" s="16">
        <v>81665970</v>
      </c>
    </row>
    <row r="26" spans="2:17">
      <c r="B26" s="17">
        <v>18</v>
      </c>
      <c r="C26" s="18">
        <v>216291</v>
      </c>
      <c r="D26" s="20">
        <v>2136091</v>
      </c>
      <c r="E26" s="18">
        <v>397979</v>
      </c>
      <c r="F26" s="20">
        <v>5.72</v>
      </c>
      <c r="G26" s="20">
        <v>13664550</v>
      </c>
      <c r="H26" s="20">
        <v>7680117</v>
      </c>
      <c r="I26" s="18">
        <v>161181</v>
      </c>
      <c r="J26" s="18">
        <v>236798</v>
      </c>
      <c r="K26" s="19">
        <v>0.405</v>
      </c>
      <c r="L26" s="19">
        <v>0.749981490813602</v>
      </c>
      <c r="M26" s="17">
        <v>1.1</v>
      </c>
      <c r="N26" s="20">
        <v>9816208</v>
      </c>
      <c r="O26" s="20">
        <v>8138263</v>
      </c>
      <c r="P26" s="20">
        <v>112277537</v>
      </c>
      <c r="Q26" s="20">
        <v>89804233</v>
      </c>
    </row>
    <row r="27" spans="2:17">
      <c r="B27">
        <v>19</v>
      </c>
      <c r="C27" s="15">
        <v>216253</v>
      </c>
      <c r="D27" s="16">
        <v>2135711</v>
      </c>
      <c r="E27" s="15">
        <v>385184</v>
      </c>
      <c r="F27" s="13">
        <v>5.71</v>
      </c>
      <c r="G27" s="16">
        <v>13191737</v>
      </c>
      <c r="H27" s="16">
        <v>7417439</v>
      </c>
      <c r="I27" s="15">
        <v>155037</v>
      </c>
      <c r="J27" s="15">
        <v>230147</v>
      </c>
      <c r="K27" s="12">
        <v>0.4025</v>
      </c>
      <c r="L27" s="12">
        <v>0.7499904964962375</v>
      </c>
      <c r="M27" s="26">
        <v>1.05</v>
      </c>
      <c r="N27" s="16">
        <v>9553149</v>
      </c>
      <c r="O27" s="16">
        <v>8156771</v>
      </c>
      <c r="P27" s="16">
        <v>121830686</v>
      </c>
      <c r="Q27" s="16">
        <v>97961004</v>
      </c>
    </row>
    <row r="28" spans="2:17">
      <c r="B28" s="17">
        <v>20</v>
      </c>
      <c r="C28" s="18">
        <v>216214</v>
      </c>
      <c r="D28" s="20">
        <v>2135331</v>
      </c>
      <c r="E28" s="18">
        <v>370942</v>
      </c>
      <c r="F28" s="20">
        <v>5.69</v>
      </c>
      <c r="G28" s="20">
        <v>12671742</v>
      </c>
      <c r="H28" s="20">
        <v>7127991</v>
      </c>
      <c r="I28" s="18">
        <v>148377</v>
      </c>
      <c r="J28" s="18">
        <v>222565</v>
      </c>
      <c r="K28" s="19">
        <v>0.4</v>
      </c>
      <c r="L28" s="19">
        <v>0.7499951205880537</v>
      </c>
      <c r="M28" s="17">
        <v>1</v>
      </c>
      <c r="N28" s="20">
        <v>9263322</v>
      </c>
      <c r="O28" s="20">
        <v>7901723</v>
      </c>
      <c r="P28" s="20">
        <v>131094008</v>
      </c>
      <c r="Q28" s="20">
        <v>105862727</v>
      </c>
    </row>
    <row r="29" spans="2:17">
      <c r="B29">
        <v>21</v>
      </c>
      <c r="C29" s="15">
        <v>216176</v>
      </c>
      <c r="D29" s="16">
        <v>2134952</v>
      </c>
      <c r="E29" s="15">
        <v>355641</v>
      </c>
      <c r="F29" s="13">
        <v>5.68</v>
      </c>
      <c r="G29" s="16">
        <v>12118257</v>
      </c>
      <c r="H29" s="16">
        <v>6819446</v>
      </c>
      <c r="I29" s="15">
        <v>141367</v>
      </c>
      <c r="J29" s="15">
        <v>214274</v>
      </c>
      <c r="K29" s="12">
        <v>0.3975</v>
      </c>
      <c r="L29" s="12">
        <v>0.7499974947867228</v>
      </c>
      <c r="M29" s="26">
        <v>0.95</v>
      </c>
      <c r="N29" s="16">
        <v>8954398</v>
      </c>
      <c r="O29" s="16">
        <v>7629870</v>
      </c>
      <c r="P29" s="16">
        <v>140048406</v>
      </c>
      <c r="Q29" s="16">
        <v>113492598</v>
      </c>
    </row>
    <row r="30" spans="2:17">
      <c r="B30" s="17">
        <v>22</v>
      </c>
      <c r="C30" s="18">
        <v>216138</v>
      </c>
      <c r="D30" s="20">
        <v>2134575</v>
      </c>
      <c r="E30" s="18">
        <v>357682</v>
      </c>
      <c r="F30" s="20">
        <v>5.66</v>
      </c>
      <c r="G30" s="20">
        <v>12156929</v>
      </c>
      <c r="H30" s="20">
        <v>6844004</v>
      </c>
      <c r="I30" s="18">
        <v>141284</v>
      </c>
      <c r="J30" s="18">
        <v>216398</v>
      </c>
      <c r="K30" s="19">
        <v>0.395</v>
      </c>
      <c r="L30" s="19">
        <v>0.7499987137701639</v>
      </c>
      <c r="M30" s="17">
        <v>0.95</v>
      </c>
      <c r="N30" s="20">
        <v>8978579</v>
      </c>
      <c r="O30" s="20">
        <v>7651149</v>
      </c>
      <c r="P30" s="20">
        <v>149026985</v>
      </c>
      <c r="Q30" s="20">
        <v>121143747</v>
      </c>
    </row>
    <row r="31" spans="2:17">
      <c r="B31">
        <v>23</v>
      </c>
      <c r="C31" s="15">
        <v>216099</v>
      </c>
      <c r="D31" s="16">
        <v>2134198</v>
      </c>
      <c r="E31" s="15">
        <v>359309</v>
      </c>
      <c r="F31" s="13">
        <v>5.65</v>
      </c>
      <c r="G31" s="16">
        <v>12181229</v>
      </c>
      <c r="H31" s="16">
        <v>6860476</v>
      </c>
      <c r="I31" s="15">
        <v>141029</v>
      </c>
      <c r="J31" s="15">
        <v>218280</v>
      </c>
      <c r="K31" s="12">
        <v>0.3925</v>
      </c>
      <c r="L31" s="12">
        <v>0.7499993396248278</v>
      </c>
      <c r="M31" s="26">
        <v>0.95</v>
      </c>
      <c r="N31" s="16">
        <v>8994674</v>
      </c>
      <c r="O31" s="16">
        <v>7665313</v>
      </c>
      <c r="P31" s="16">
        <v>158021659</v>
      </c>
      <c r="Q31" s="16">
        <v>128809060</v>
      </c>
    </row>
    <row r="32" spans="2:17">
      <c r="B32" s="17">
        <v>24</v>
      </c>
      <c r="C32" s="18">
        <v>216061</v>
      </c>
      <c r="D32" s="20">
        <v>2133822</v>
      </c>
      <c r="E32" s="18">
        <v>378872</v>
      </c>
      <c r="F32" s="20">
        <v>5.64</v>
      </c>
      <c r="G32" s="20">
        <v>12811922</v>
      </c>
      <c r="H32" s="20">
        <v>7218610</v>
      </c>
      <c r="I32" s="18">
        <v>147760</v>
      </c>
      <c r="J32" s="18">
        <v>231112</v>
      </c>
      <c r="K32" s="19">
        <v>0.39</v>
      </c>
      <c r="L32" s="19">
        <v>0.7499996609513553</v>
      </c>
      <c r="M32" s="17">
        <v>1</v>
      </c>
      <c r="N32" s="20">
        <v>9352432</v>
      </c>
      <c r="O32" s="20">
        <v>7980140</v>
      </c>
      <c r="P32" s="20">
        <v>167374091</v>
      </c>
      <c r="Q32" s="20">
        <v>136789200</v>
      </c>
    </row>
    <row r="33" spans="2:17">
      <c r="B33">
        <v>25</v>
      </c>
      <c r="C33" s="15">
        <v>216023</v>
      </c>
      <c r="D33" s="16">
        <v>2133446</v>
      </c>
      <c r="E33" s="15">
        <v>343421</v>
      </c>
      <c r="F33" s="13">
        <v>5.62</v>
      </c>
      <c r="G33" s="16">
        <v>11583693</v>
      </c>
      <c r="H33" s="16">
        <v>6529227</v>
      </c>
      <c r="I33" s="15">
        <v>133076</v>
      </c>
      <c r="J33" s="15">
        <v>210345</v>
      </c>
      <c r="K33" s="12">
        <v>0.3875</v>
      </c>
      <c r="L33" s="12">
        <v>0.7499998259264302</v>
      </c>
      <c r="M33" s="26">
        <v>0.9</v>
      </c>
      <c r="N33" s="16">
        <v>8662674</v>
      </c>
      <c r="O33" s="16">
        <v>7373153</v>
      </c>
      <c r="P33" s="16">
        <v>176036764</v>
      </c>
      <c r="Q33" s="16">
        <v>144162353</v>
      </c>
    </row>
    <row r="34" spans="2:17">
      <c r="B34" s="17">
        <v>26</v>
      </c>
      <c r="C34" s="18">
        <v>215985</v>
      </c>
      <c r="D34" s="20">
        <v>2133072</v>
      </c>
      <c r="E34" s="18">
        <v>399316</v>
      </c>
      <c r="F34" s="20">
        <v>5.61</v>
      </c>
      <c r="G34" s="20">
        <v>13434887</v>
      </c>
      <c r="H34" s="20">
        <v>7575713</v>
      </c>
      <c r="I34" s="18">
        <v>153737</v>
      </c>
      <c r="J34" s="18">
        <v>245579</v>
      </c>
      <c r="K34" s="19">
        <v>0.385</v>
      </c>
      <c r="L34" s="19">
        <v>0.7499999106275989</v>
      </c>
      <c r="M34" s="17">
        <v>1.05</v>
      </c>
      <c r="N34" s="20">
        <v>9708785</v>
      </c>
      <c r="O34" s="20">
        <v>8293731</v>
      </c>
      <c r="P34" s="20">
        <v>185745550</v>
      </c>
      <c r="Q34" s="20">
        <v>152456084</v>
      </c>
    </row>
    <row r="35" spans="2:17">
      <c r="B35">
        <v>27</v>
      </c>
      <c r="C35" s="15">
        <v>215948</v>
      </c>
      <c r="D35" s="16">
        <v>2132699</v>
      </c>
      <c r="E35" s="15">
        <v>381816</v>
      </c>
      <c r="F35" s="13">
        <v>5.59</v>
      </c>
      <c r="G35" s="16">
        <v>12813530</v>
      </c>
      <c r="H35" s="16">
        <v>7228238</v>
      </c>
      <c r="I35" s="15">
        <v>146045</v>
      </c>
      <c r="J35" s="15">
        <v>235771</v>
      </c>
      <c r="K35" s="12">
        <v>0.3825</v>
      </c>
      <c r="L35" s="12">
        <v>0.7499999541146659</v>
      </c>
      <c r="M35" s="26">
        <v>1</v>
      </c>
      <c r="N35" s="16">
        <v>9360936</v>
      </c>
      <c r="O35" s="16">
        <v>7987624</v>
      </c>
      <c r="P35" s="16">
        <v>195106486</v>
      </c>
      <c r="Q35" s="16">
        <v>160443708</v>
      </c>
    </row>
    <row r="36" spans="2:17">
      <c r="B36" s="17">
        <v>28</v>
      </c>
      <c r="C36" s="18">
        <v>215910</v>
      </c>
      <c r="D36" s="20">
        <v>2132326</v>
      </c>
      <c r="E36" s="18">
        <v>382559</v>
      </c>
      <c r="F36" s="20">
        <v>5.58</v>
      </c>
      <c r="G36" s="20">
        <v>12805924</v>
      </c>
      <c r="H36" s="20">
        <v>7226833</v>
      </c>
      <c r="I36" s="18">
        <v>145372</v>
      </c>
      <c r="J36" s="18">
        <v>237187</v>
      </c>
      <c r="K36" s="19">
        <v>0.38</v>
      </c>
      <c r="L36" s="19">
        <v>0.7499999764416805</v>
      </c>
      <c r="M36" s="17">
        <v>1</v>
      </c>
      <c r="N36" s="20">
        <v>9359159</v>
      </c>
      <c r="O36" s="20">
        <v>7986060</v>
      </c>
      <c r="P36" s="20">
        <v>204465646</v>
      </c>
      <c r="Q36" s="20">
        <v>168429768</v>
      </c>
    </row>
    <row r="37" spans="2:17">
      <c r="B37">
        <v>29</v>
      </c>
      <c r="C37" s="15">
        <v>215872</v>
      </c>
      <c r="D37" s="16">
        <v>2131954</v>
      </c>
      <c r="E37" s="15">
        <v>401673</v>
      </c>
      <c r="F37" s="13">
        <v>5.56</v>
      </c>
      <c r="G37" s="16">
        <v>13411633</v>
      </c>
      <c r="H37" s="16">
        <v>7571668</v>
      </c>
      <c r="I37" s="15">
        <v>151632</v>
      </c>
      <c r="J37" s="15">
        <v>250041</v>
      </c>
      <c r="K37" s="12">
        <v>0.3775</v>
      </c>
      <c r="L37" s="12">
        <v>0.7499999879047545</v>
      </c>
      <c r="M37" s="26">
        <v>1.05</v>
      </c>
      <c r="N37" s="16">
        <v>9703623</v>
      </c>
      <c r="O37" s="16">
        <v>8289188</v>
      </c>
      <c r="P37" s="16">
        <v>214169268</v>
      </c>
      <c r="Q37" s="16">
        <v>176718956</v>
      </c>
    </row>
    <row r="38" spans="2:17">
      <c r="B38" s="17">
        <v>30</v>
      </c>
      <c r="C38" s="18">
        <v>215835</v>
      </c>
      <c r="D38" s="20">
        <v>2131583</v>
      </c>
      <c r="E38" s="18">
        <v>420792</v>
      </c>
      <c r="F38" s="20">
        <v>5.55</v>
      </c>
      <c r="G38" s="20">
        <v>14014410</v>
      </c>
      <c r="H38" s="20">
        <v>7915109</v>
      </c>
      <c r="I38" s="18">
        <v>157797</v>
      </c>
      <c r="J38" s="18">
        <v>262995</v>
      </c>
      <c r="K38" s="19">
        <v>0.375</v>
      </c>
      <c r="L38" s="19">
        <v>0.7499999937900936</v>
      </c>
      <c r="M38" s="17">
        <v>1.1</v>
      </c>
      <c r="N38" s="20">
        <v>10046693</v>
      </c>
      <c r="O38" s="20">
        <v>8591090</v>
      </c>
      <c r="P38" s="20">
        <v>224215961</v>
      </c>
      <c r="Q38" s="20">
        <v>185310046</v>
      </c>
    </row>
    <row r="39" spans="2:17">
      <c r="B39">
        <v>31</v>
      </c>
      <c r="C39" s="15">
        <v>215797</v>
      </c>
      <c r="D39" s="16">
        <v>2131213</v>
      </c>
      <c r="E39" s="15">
        <v>402937</v>
      </c>
      <c r="F39" s="13">
        <v>5.54</v>
      </c>
      <c r="G39" s="16">
        <v>13385724</v>
      </c>
      <c r="H39" s="16">
        <v>7563024</v>
      </c>
      <c r="I39" s="15">
        <v>150094</v>
      </c>
      <c r="J39" s="15">
        <v>252843</v>
      </c>
      <c r="K39" s="12">
        <v>0.3725</v>
      </c>
      <c r="L39" s="12">
        <v>0.7499999968117277</v>
      </c>
      <c r="M39" s="26">
        <v>1.05</v>
      </c>
      <c r="N39" s="16">
        <v>9694238</v>
      </c>
      <c r="O39" s="16">
        <v>8280929</v>
      </c>
      <c r="P39" s="16">
        <v>233910199</v>
      </c>
      <c r="Q39" s="16">
        <v>193590975</v>
      </c>
    </row>
    <row r="40" spans="2:17">
      <c r="B40" s="17">
        <v>32</v>
      </c>
      <c r="C40" s="18">
        <v>215760</v>
      </c>
      <c r="D40" s="20">
        <v>2130844</v>
      </c>
      <c r="E40" s="18">
        <v>384999</v>
      </c>
      <c r="F40" s="20">
        <v>5.52</v>
      </c>
      <c r="G40" s="20">
        <v>12757403</v>
      </c>
      <c r="H40" s="20">
        <v>7210855</v>
      </c>
      <c r="I40" s="18">
        <v>142450</v>
      </c>
      <c r="J40" s="18">
        <v>242549</v>
      </c>
      <c r="K40" s="19">
        <v>0.37</v>
      </c>
      <c r="L40" s="19">
        <v>0.7499999983630864</v>
      </c>
      <c r="M40" s="17">
        <v>1</v>
      </c>
      <c r="N40" s="20">
        <v>9341700</v>
      </c>
      <c r="O40" s="20">
        <v>7970696</v>
      </c>
      <c r="P40" s="20">
        <v>243251899</v>
      </c>
      <c r="Q40" s="20">
        <v>201561671</v>
      </c>
    </row>
    <row r="41" spans="2:17">
      <c r="B41">
        <v>33</v>
      </c>
      <c r="C41" s="15">
        <v>215723</v>
      </c>
      <c r="D41" s="16">
        <v>2130476</v>
      </c>
      <c r="E41" s="15">
        <v>366988</v>
      </c>
      <c r="F41" s="13">
        <v>5.51</v>
      </c>
      <c r="G41" s="16">
        <v>12129784</v>
      </c>
      <c r="H41" s="16">
        <v>6858795</v>
      </c>
      <c r="I41" s="15">
        <v>134868</v>
      </c>
      <c r="J41" s="15">
        <v>232120</v>
      </c>
      <c r="K41" s="12">
        <v>0.3675</v>
      </c>
      <c r="L41" s="12">
        <v>0.7499999991595805</v>
      </c>
      <c r="M41" s="26">
        <v>0.95</v>
      </c>
      <c r="N41" s="16">
        <v>8989271</v>
      </c>
      <c r="O41" s="16">
        <v>7660559</v>
      </c>
      <c r="P41" s="16">
        <v>252241170</v>
      </c>
      <c r="Q41" s="16">
        <v>209222230</v>
      </c>
    </row>
    <row r="42" spans="2:17">
      <c r="B42" s="17">
        <v>34</v>
      </c>
      <c r="C42" s="18">
        <v>215685</v>
      </c>
      <c r="D42" s="20">
        <v>2130109</v>
      </c>
      <c r="E42" s="18">
        <v>367486</v>
      </c>
      <c r="F42" s="20">
        <v>5.49</v>
      </c>
      <c r="G42" s="20">
        <v>12115425</v>
      </c>
      <c r="H42" s="20">
        <v>6853352</v>
      </c>
      <c r="I42" s="18">
        <v>134132</v>
      </c>
      <c r="J42" s="18">
        <v>233354</v>
      </c>
      <c r="K42" s="19">
        <v>0.365</v>
      </c>
      <c r="L42" s="19">
        <v>0.7499999995685143</v>
      </c>
      <c r="M42" s="17">
        <v>0.95</v>
      </c>
      <c r="N42" s="20">
        <v>8983460</v>
      </c>
      <c r="O42" s="20">
        <v>7655445</v>
      </c>
      <c r="P42" s="20">
        <v>261224630</v>
      </c>
      <c r="Q42" s="20">
        <v>216877675</v>
      </c>
    </row>
    <row r="43" spans="2:17">
      <c r="B43">
        <v>35</v>
      </c>
      <c r="C43" s="15">
        <v>215648</v>
      </c>
      <c r="D43" s="16">
        <v>2129742</v>
      </c>
      <c r="E43" s="15">
        <v>367973</v>
      </c>
      <c r="F43" s="13">
        <v>5.48</v>
      </c>
      <c r="G43" s="16">
        <v>12100708</v>
      </c>
      <c r="H43" s="16">
        <v>6847691</v>
      </c>
      <c r="I43" s="15">
        <v>133390</v>
      </c>
      <c r="J43" s="15">
        <v>234583</v>
      </c>
      <c r="K43" s="12">
        <v>0.3625</v>
      </c>
      <c r="L43" s="12">
        <v>0.7499999997784679</v>
      </c>
      <c r="M43" s="26">
        <v>0.95</v>
      </c>
      <c r="N43" s="16">
        <v>8977432</v>
      </c>
      <c r="O43" s="16">
        <v>7650141</v>
      </c>
      <c r="P43" s="16">
        <v>270202063</v>
      </c>
      <c r="Q43" s="16">
        <v>224527815</v>
      </c>
    </row>
    <row r="44" spans="2:17">
      <c r="B44" s="17">
        <v>36</v>
      </c>
      <c r="C44" s="18">
        <v>215611</v>
      </c>
      <c r="D44" s="20">
        <v>2129376</v>
      </c>
      <c r="E44" s="18">
        <v>387072</v>
      </c>
      <c r="F44" s="20">
        <v>5.47</v>
      </c>
      <c r="G44" s="20">
        <v>12696563</v>
      </c>
      <c r="H44" s="20">
        <v>7187666</v>
      </c>
      <c r="I44" s="18">
        <v>139346</v>
      </c>
      <c r="J44" s="18">
        <v>247726</v>
      </c>
      <c r="K44" s="19">
        <v>0.36</v>
      </c>
      <c r="L44" s="19">
        <v>0.7499999998862616</v>
      </c>
      <c r="M44" s="17">
        <v>1</v>
      </c>
      <c r="N44" s="20">
        <v>9317042</v>
      </c>
      <c r="O44" s="20">
        <v>7948997</v>
      </c>
      <c r="P44" s="20">
        <v>279519105</v>
      </c>
      <c r="Q44" s="20">
        <v>232476812</v>
      </c>
    </row>
    <row r="45" spans="2:17">
      <c r="B45">
        <v>37</v>
      </c>
      <c r="C45" s="15">
        <v>215574</v>
      </c>
      <c r="D45" s="16">
        <v>2129011</v>
      </c>
      <c r="E45" s="15">
        <v>350277</v>
      </c>
      <c r="F45" s="13">
        <v>5.45</v>
      </c>
      <c r="G45" s="16">
        <v>11460466</v>
      </c>
      <c r="H45" s="16">
        <v>6490404</v>
      </c>
      <c r="I45" s="15">
        <v>125224</v>
      </c>
      <c r="J45" s="15">
        <v>225053</v>
      </c>
      <c r="K45" s="12">
        <v>0.3575</v>
      </c>
      <c r="L45" s="12">
        <v>0.7499999999416047</v>
      </c>
      <c r="M45" s="26">
        <v>0.9</v>
      </c>
      <c r="N45" s="16">
        <v>8619416</v>
      </c>
      <c r="O45" s="16">
        <v>7335086</v>
      </c>
      <c r="P45" s="16">
        <v>288138521</v>
      </c>
      <c r="Q45" s="16">
        <v>239811898</v>
      </c>
    </row>
    <row r="46" spans="2:17">
      <c r="B46" s="17">
        <v>38</v>
      </c>
      <c r="C46" s="18">
        <v>215537</v>
      </c>
      <c r="D46" s="20">
        <v>2128647</v>
      </c>
      <c r="E46" s="18">
        <v>406734</v>
      </c>
      <c r="F46" s="20">
        <v>5.44</v>
      </c>
      <c r="G46" s="20">
        <v>13273894</v>
      </c>
      <c r="H46" s="20">
        <v>7520296</v>
      </c>
      <c r="I46" s="18">
        <v>144391</v>
      </c>
      <c r="J46" s="18">
        <v>262343</v>
      </c>
      <c r="K46" s="19">
        <v>0.355</v>
      </c>
      <c r="L46" s="19">
        <v>0.7499999999700189</v>
      </c>
      <c r="M46" s="17">
        <v>1.05</v>
      </c>
      <c r="N46" s="20">
        <v>9648943</v>
      </c>
      <c r="O46" s="20">
        <v>8241070</v>
      </c>
      <c r="P46" s="20">
        <v>297787463</v>
      </c>
      <c r="Q46" s="20">
        <v>248052968</v>
      </c>
    </row>
    <row r="47" spans="2:17">
      <c r="B47">
        <v>39</v>
      </c>
      <c r="C47" s="15">
        <v>215501</v>
      </c>
      <c r="D47" s="16">
        <v>2128284</v>
      </c>
      <c r="E47" s="15">
        <v>388552</v>
      </c>
      <c r="F47" s="13">
        <v>5.43</v>
      </c>
      <c r="G47" s="16">
        <v>12648381</v>
      </c>
      <c r="H47" s="16">
        <v>7168660</v>
      </c>
      <c r="I47" s="15">
        <v>136965</v>
      </c>
      <c r="J47" s="15">
        <v>251587</v>
      </c>
      <c r="K47" s="12">
        <v>0.3525</v>
      </c>
      <c r="L47" s="12">
        <v>0.7499999999846072</v>
      </c>
      <c r="M47" s="26">
        <v>1</v>
      </c>
      <c r="N47" s="16">
        <v>9296944</v>
      </c>
      <c r="O47" s="16">
        <v>7931311</v>
      </c>
      <c r="P47" s="16">
        <v>307084408</v>
      </c>
      <c r="Q47" s="16">
        <v>255984279</v>
      </c>
    </row>
    <row r="48" spans="2:17">
      <c r="B48" s="17">
        <v>40</v>
      </c>
      <c r="C48" s="18">
        <v>215464</v>
      </c>
      <c r="D48" s="20">
        <v>2127922</v>
      </c>
      <c r="E48" s="18">
        <v>389038</v>
      </c>
      <c r="F48" s="20">
        <v>5.41</v>
      </c>
      <c r="G48" s="20">
        <v>12632117</v>
      </c>
      <c r="H48" s="20">
        <v>7162178</v>
      </c>
      <c r="I48" s="18">
        <v>136163</v>
      </c>
      <c r="J48" s="18">
        <v>252875</v>
      </c>
      <c r="K48" s="19">
        <v>0.35</v>
      </c>
      <c r="L48" s="19">
        <v>0.749999999992097</v>
      </c>
      <c r="M48" s="17">
        <v>1</v>
      </c>
      <c r="N48" s="20">
        <v>9290100</v>
      </c>
      <c r="O48" s="20">
        <v>7925288</v>
      </c>
      <c r="P48" s="20">
        <v>316374507</v>
      </c>
      <c r="Q48" s="20">
        <v>263909566</v>
      </c>
    </row>
    <row r="49" spans="2:17">
      <c r="B49">
        <v>41</v>
      </c>
      <c r="C49" s="15">
        <v>215427</v>
      </c>
      <c r="D49" s="16">
        <v>2127560</v>
      </c>
      <c r="E49" s="15">
        <v>408266</v>
      </c>
      <c r="F49" s="13">
        <v>5.4</v>
      </c>
      <c r="G49" s="16">
        <v>13222842</v>
      </c>
      <c r="H49" s="16">
        <v>7499962</v>
      </c>
      <c r="I49" s="15">
        <v>141872</v>
      </c>
      <c r="J49" s="15">
        <v>266394</v>
      </c>
      <c r="K49" s="12">
        <v>0.3475</v>
      </c>
      <c r="L49" s="12">
        <v>0.7499999999959426</v>
      </c>
      <c r="M49" s="26">
        <v>1.05</v>
      </c>
      <c r="N49" s="16">
        <v>9627522</v>
      </c>
      <c r="O49" s="16">
        <v>8222219</v>
      </c>
      <c r="P49" s="16">
        <v>326002029</v>
      </c>
      <c r="Q49" s="16">
        <v>272131786</v>
      </c>
    </row>
    <row r="50" spans="2:17">
      <c r="B50" s="17">
        <v>42</v>
      </c>
      <c r="C50" s="18">
        <v>215391</v>
      </c>
      <c r="D50" s="20">
        <v>2127199</v>
      </c>
      <c r="E50" s="18">
        <v>427541</v>
      </c>
      <c r="F50" s="20">
        <v>5.38</v>
      </c>
      <c r="G50" s="20">
        <v>13811996</v>
      </c>
      <c r="H50" s="20">
        <v>7837100</v>
      </c>
      <c r="I50" s="18">
        <v>147502</v>
      </c>
      <c r="J50" s="18">
        <v>280039</v>
      </c>
      <c r="K50" s="19">
        <v>0.345</v>
      </c>
      <c r="L50" s="19">
        <v>0.7499999999979168</v>
      </c>
      <c r="M50" s="17">
        <v>1.1</v>
      </c>
      <c r="N50" s="20">
        <v>9964299</v>
      </c>
      <c r="O50" s="20">
        <v>8518583</v>
      </c>
      <c r="P50" s="20">
        <v>335966328</v>
      </c>
      <c r="Q50" s="20">
        <v>280650369</v>
      </c>
    </row>
    <row r="51" spans="2:17">
      <c r="B51">
        <v>43</v>
      </c>
      <c r="C51" s="15">
        <v>215354</v>
      </c>
      <c r="D51" s="16">
        <v>2126840</v>
      </c>
      <c r="E51" s="15">
        <v>409280</v>
      </c>
      <c r="F51" s="13">
        <v>5.37</v>
      </c>
      <c r="G51" s="16">
        <v>13188549</v>
      </c>
      <c r="H51" s="16">
        <v>7486175</v>
      </c>
      <c r="I51" s="15">
        <v>140178</v>
      </c>
      <c r="J51" s="15">
        <v>269102</v>
      </c>
      <c r="K51" s="12">
        <v>0.3425</v>
      </c>
      <c r="L51" s="12">
        <v>0.7499999999989304</v>
      </c>
      <c r="M51" s="26">
        <v>1.05</v>
      </c>
      <c r="N51" s="16">
        <v>9613015</v>
      </c>
      <c r="O51" s="16">
        <v>8209453</v>
      </c>
      <c r="P51" s="16">
        <v>345579343</v>
      </c>
      <c r="Q51" s="16">
        <v>288859822</v>
      </c>
    </row>
    <row r="52" spans="2:17">
      <c r="B52" s="17">
        <v>44</v>
      </c>
      <c r="C52" s="18">
        <v>215318</v>
      </c>
      <c r="D52" s="20">
        <v>2126480</v>
      </c>
      <c r="E52" s="18">
        <v>390970</v>
      </c>
      <c r="F52" s="20">
        <v>5.36</v>
      </c>
      <c r="G52" s="20">
        <v>12566607</v>
      </c>
      <c r="H52" s="20">
        <v>7135830</v>
      </c>
      <c r="I52" s="18">
        <v>132930</v>
      </c>
      <c r="J52" s="18">
        <v>258040</v>
      </c>
      <c r="K52" s="19">
        <v>0.34</v>
      </c>
      <c r="L52" s="19">
        <v>0.7499999999994509</v>
      </c>
      <c r="M52" s="17">
        <v>1</v>
      </c>
      <c r="N52" s="20">
        <v>9262311</v>
      </c>
      <c r="O52" s="20">
        <v>7900833</v>
      </c>
      <c r="P52" s="20">
        <v>354841654</v>
      </c>
      <c r="Q52" s="20">
        <v>296760655</v>
      </c>
    </row>
    <row r="53" spans="2:17">
      <c r="B53">
        <v>45</v>
      </c>
      <c r="C53" s="15">
        <v>215282</v>
      </c>
      <c r="D53" s="16">
        <v>2126122</v>
      </c>
      <c r="E53" s="15">
        <v>372612</v>
      </c>
      <c r="F53" s="13">
        <v>5.34</v>
      </c>
      <c r="G53" s="16">
        <v>11946181</v>
      </c>
      <c r="H53" s="16">
        <v>6786071</v>
      </c>
      <c r="I53" s="15">
        <v>125757</v>
      </c>
      <c r="J53" s="15">
        <v>246855</v>
      </c>
      <c r="K53" s="12">
        <v>0.3375</v>
      </c>
      <c r="L53" s="12">
        <v>0.749999999999718</v>
      </c>
      <c r="M53" s="26">
        <v>0.95</v>
      </c>
      <c r="N53" s="16">
        <v>8912193</v>
      </c>
      <c r="O53" s="16">
        <v>7592730</v>
      </c>
      <c r="P53" s="16">
        <v>363753847</v>
      </c>
      <c r="Q53" s="16">
        <v>304353385</v>
      </c>
    </row>
    <row r="54" spans="2:17">
      <c r="B54" s="17">
        <v>46</v>
      </c>
      <c r="C54" s="18">
        <v>215246</v>
      </c>
      <c r="D54" s="20">
        <v>2125765</v>
      </c>
      <c r="E54" s="18">
        <v>373068</v>
      </c>
      <c r="F54" s="20">
        <v>5.33</v>
      </c>
      <c r="G54" s="20">
        <v>11930496</v>
      </c>
      <c r="H54" s="20">
        <v>6779694</v>
      </c>
      <c r="I54" s="18">
        <v>124978</v>
      </c>
      <c r="J54" s="18">
        <v>248090</v>
      </c>
      <c r="K54" s="19">
        <v>0.335</v>
      </c>
      <c r="L54" s="19">
        <v>0.7499999999998552</v>
      </c>
      <c r="M54" s="17">
        <v>0.95</v>
      </c>
      <c r="N54" s="20">
        <v>8905459</v>
      </c>
      <c r="O54" s="20">
        <v>7586804</v>
      </c>
      <c r="P54" s="20">
        <v>372659306</v>
      </c>
      <c r="Q54" s="20">
        <v>311940190</v>
      </c>
    </row>
    <row r="55" spans="2:17">
      <c r="B55">
        <v>47</v>
      </c>
      <c r="C55" s="15">
        <v>215209</v>
      </c>
      <c r="D55" s="16">
        <v>2125408</v>
      </c>
      <c r="E55" s="15">
        <v>373525</v>
      </c>
      <c r="F55" s="13">
        <v>5.32</v>
      </c>
      <c r="G55" s="16">
        <v>11914803</v>
      </c>
      <c r="H55" s="16">
        <v>6773298</v>
      </c>
      <c r="I55" s="15">
        <v>124197</v>
      </c>
      <c r="J55" s="15">
        <v>249328</v>
      </c>
      <c r="K55" s="12">
        <v>0.3325</v>
      </c>
      <c r="L55" s="12">
        <v>0.7499999999999257</v>
      </c>
      <c r="M55" s="26">
        <v>0.95</v>
      </c>
      <c r="N55" s="16">
        <v>8898706</v>
      </c>
      <c r="O55" s="16">
        <v>7580862</v>
      </c>
      <c r="P55" s="16">
        <v>381558013</v>
      </c>
      <c r="Q55" s="16">
        <v>319521051</v>
      </c>
    </row>
    <row r="56" spans="2:17">
      <c r="B56" s="17">
        <v>48</v>
      </c>
      <c r="C56" s="18">
        <v>215173</v>
      </c>
      <c r="D56" s="20">
        <v>2125053</v>
      </c>
      <c r="E56" s="18">
        <v>392891</v>
      </c>
      <c r="F56" s="20">
        <v>5.3</v>
      </c>
      <c r="G56" s="20">
        <v>12500794</v>
      </c>
      <c r="H56" s="20">
        <v>7109057</v>
      </c>
      <c r="I56" s="18">
        <v>129654</v>
      </c>
      <c r="J56" s="18">
        <v>263237</v>
      </c>
      <c r="K56" s="19">
        <v>0.33</v>
      </c>
      <c r="L56" s="19">
        <v>0.7499999999999618</v>
      </c>
      <c r="M56" s="17">
        <v>1</v>
      </c>
      <c r="N56" s="20">
        <v>9234110</v>
      </c>
      <c r="O56" s="20">
        <v>7876017</v>
      </c>
      <c r="P56" s="20">
        <v>390792122</v>
      </c>
      <c r="Q56" s="20">
        <v>327397068</v>
      </c>
    </row>
    <row r="57" spans="2:17">
      <c r="B57">
        <v>49</v>
      </c>
      <c r="C57" s="15">
        <v>215137</v>
      </c>
      <c r="D57" s="16">
        <v>2124698</v>
      </c>
      <c r="E57" s="15">
        <v>355502</v>
      </c>
      <c r="F57" s="13">
        <v>5.29</v>
      </c>
      <c r="G57" s="16">
        <v>11282481</v>
      </c>
      <c r="H57" s="16">
        <v>6418589</v>
      </c>
      <c r="I57" s="15">
        <v>116427</v>
      </c>
      <c r="J57" s="15">
        <v>239075</v>
      </c>
      <c r="K57" s="12">
        <v>0.3275</v>
      </c>
      <c r="L57" s="12">
        <v>0.7499999999999805</v>
      </c>
      <c r="M57" s="26">
        <v>0.9</v>
      </c>
      <c r="N57" s="16">
        <v>8543287</v>
      </c>
      <c r="O57" s="16">
        <v>7268092</v>
      </c>
      <c r="P57" s="16">
        <v>399335409</v>
      </c>
      <c r="Q57" s="16">
        <v>334665160</v>
      </c>
    </row>
    <row r="58" spans="2:17">
      <c r="B58" s="17">
        <v>50</v>
      </c>
      <c r="C58" s="18">
        <v>215102</v>
      </c>
      <c r="D58" s="20">
        <v>2124344</v>
      </c>
      <c r="E58" s="18">
        <v>412809</v>
      </c>
      <c r="F58" s="20">
        <v>5.28</v>
      </c>
      <c r="G58" s="20">
        <v>13068009</v>
      </c>
      <c r="H58" s="20">
        <v>7437112</v>
      </c>
      <c r="I58" s="18">
        <v>134163</v>
      </c>
      <c r="J58" s="18">
        <v>278646</v>
      </c>
      <c r="K58" s="19">
        <v>0.325</v>
      </c>
      <c r="L58" s="19">
        <v>0.74999999999999</v>
      </c>
      <c r="M58" s="17">
        <v>1.05</v>
      </c>
      <c r="N58" s="20">
        <v>9561455</v>
      </c>
      <c r="O58" s="20">
        <v>8164081</v>
      </c>
      <c r="P58" s="20">
        <v>408896864</v>
      </c>
      <c r="Q58" s="20">
        <v>342829241</v>
      </c>
    </row>
    <row r="59" spans="2:17">
      <c r="B59">
        <v>51</v>
      </c>
      <c r="C59" s="15">
        <v>215066</v>
      </c>
      <c r="D59" s="16">
        <v>2123990</v>
      </c>
      <c r="E59" s="15">
        <v>394330</v>
      </c>
      <c r="F59" s="13">
        <v>5.26</v>
      </c>
      <c r="G59" s="16">
        <v>12451382</v>
      </c>
      <c r="H59" s="16">
        <v>7088785</v>
      </c>
      <c r="I59" s="15">
        <v>127171</v>
      </c>
      <c r="J59" s="15">
        <v>267159</v>
      </c>
      <c r="K59" s="12">
        <v>0.3225</v>
      </c>
      <c r="L59" s="12">
        <v>0.7499999999999949</v>
      </c>
      <c r="M59" s="26">
        <v>1</v>
      </c>
      <c r="N59" s="16">
        <v>9212776</v>
      </c>
      <c r="O59" s="16">
        <v>7857243</v>
      </c>
      <c r="P59" s="16">
        <v>418109640</v>
      </c>
      <c r="Q59" s="16">
        <v>350686483</v>
      </c>
    </row>
    <row r="60" spans="2:17">
      <c r="B60" s="17">
        <v>52</v>
      </c>
      <c r="C60" s="18">
        <v>215030</v>
      </c>
      <c r="D60" s="20">
        <v>2123638</v>
      </c>
      <c r="E60" s="18">
        <v>394810</v>
      </c>
      <c r="F60" s="20">
        <v>5.25</v>
      </c>
      <c r="G60" s="20">
        <v>12434911</v>
      </c>
      <c r="H60" s="20">
        <v>7081997</v>
      </c>
      <c r="I60" s="18">
        <v>126339</v>
      </c>
      <c r="J60" s="18">
        <v>268471</v>
      </c>
      <c r="K60" s="19">
        <v>0.3200000000000001</v>
      </c>
      <c r="L60" s="19">
        <v>0.7499999999999973</v>
      </c>
      <c r="M60" s="17">
        <v>1</v>
      </c>
      <c r="N60" s="20">
        <v>9205635</v>
      </c>
      <c r="O60" s="20">
        <v>7850959</v>
      </c>
      <c r="P60" s="20">
        <v>427315275</v>
      </c>
      <c r="Q60" s="20">
        <v>358537442</v>
      </c>
    </row>
    <row r="61" spans="2:17">
      <c r="B61">
        <v>53</v>
      </c>
      <c r="C61" s="15">
        <v>214995</v>
      </c>
      <c r="D61" s="16">
        <v>2123286</v>
      </c>
      <c r="E61" s="15">
        <v>414318</v>
      </c>
      <c r="F61" s="13">
        <v>5.24</v>
      </c>
      <c r="G61" s="16">
        <v>13016294</v>
      </c>
      <c r="H61" s="16">
        <v>7415810</v>
      </c>
      <c r="I61" s="15">
        <v>131546</v>
      </c>
      <c r="J61" s="15">
        <v>282772</v>
      </c>
      <c r="K61" s="12">
        <v>0.3175</v>
      </c>
      <c r="L61" s="12">
        <v>0.7499999999999987</v>
      </c>
      <c r="M61" s="26">
        <v>1.05</v>
      </c>
      <c r="N61" s="16">
        <v>9539097</v>
      </c>
      <c r="O61" s="16">
        <v>8144405</v>
      </c>
      <c r="P61" s="16">
        <v>436854371</v>
      </c>
      <c r="Q61" s="16">
        <v>366681847</v>
      </c>
    </row>
    <row r="62" spans="2:17">
      <c r="B62" s="17">
        <v>54</v>
      </c>
      <c r="C62" s="18">
        <v>214959</v>
      </c>
      <c r="D62" s="20">
        <v>2122935</v>
      </c>
      <c r="E62" s="18">
        <v>433876</v>
      </c>
      <c r="F62" s="20">
        <v>5.22</v>
      </c>
      <c r="G62" s="20">
        <v>13596144</v>
      </c>
      <c r="H62" s="20">
        <v>7748982</v>
      </c>
      <c r="I62" s="18">
        <v>136671</v>
      </c>
      <c r="J62" s="18">
        <v>297205</v>
      </c>
      <c r="K62" s="19">
        <v>0.315</v>
      </c>
      <c r="L62" s="19">
        <v>0.7499999999999993</v>
      </c>
      <c r="M62" s="17">
        <v>1.1</v>
      </c>
      <c r="N62" s="20">
        <v>9871918</v>
      </c>
      <c r="O62" s="20">
        <v>8437288</v>
      </c>
      <c r="P62" s="20">
        <v>446726289</v>
      </c>
      <c r="Q62" s="20">
        <v>375119135</v>
      </c>
    </row>
    <row r="63" spans="2:17">
      <c r="B63">
        <v>55</v>
      </c>
      <c r="C63" s="15">
        <v>214924</v>
      </c>
      <c r="D63" s="16">
        <v>2122585</v>
      </c>
      <c r="E63" s="15">
        <v>415325</v>
      </c>
      <c r="F63" s="13">
        <v>5.21</v>
      </c>
      <c r="G63" s="16">
        <v>12981822</v>
      </c>
      <c r="H63" s="16">
        <v>7401533</v>
      </c>
      <c r="I63" s="15">
        <v>129789</v>
      </c>
      <c r="J63" s="15">
        <v>285536</v>
      </c>
      <c r="K63" s="12">
        <v>0.3125</v>
      </c>
      <c r="L63" s="12">
        <v>0.7499999999999997</v>
      </c>
      <c r="M63" s="26">
        <v>1.05</v>
      </c>
      <c r="N63" s="16">
        <v>9524118</v>
      </c>
      <c r="O63" s="16">
        <v>8131224</v>
      </c>
      <c r="P63" s="16">
        <v>456250408</v>
      </c>
      <c r="Q63" s="16">
        <v>383250359</v>
      </c>
    </row>
    <row r="64" spans="2:17">
      <c r="B64" s="17">
        <v>56</v>
      </c>
      <c r="C64" s="18">
        <v>214888</v>
      </c>
      <c r="D64" s="20">
        <v>2122236</v>
      </c>
      <c r="E64" s="18">
        <v>396724</v>
      </c>
      <c r="F64" s="20">
        <v>5.2</v>
      </c>
      <c r="G64" s="20">
        <v>12369037</v>
      </c>
      <c r="H64" s="20">
        <v>7054698</v>
      </c>
      <c r="I64" s="18">
        <v>122984</v>
      </c>
      <c r="J64" s="18">
        <v>273740</v>
      </c>
      <c r="K64" s="19">
        <v>0.31</v>
      </c>
      <c r="L64" s="19">
        <v>0.7499999999999998</v>
      </c>
      <c r="M64" s="17">
        <v>1</v>
      </c>
      <c r="N64" s="20">
        <v>9176935</v>
      </c>
      <c r="O64" s="20">
        <v>7825702</v>
      </c>
      <c r="P64" s="20">
        <v>465427342</v>
      </c>
      <c r="Q64" s="20">
        <v>391076061</v>
      </c>
    </row>
    <row r="65" spans="2:17">
      <c r="B65">
        <v>57</v>
      </c>
      <c r="C65" s="15">
        <v>214853</v>
      </c>
      <c r="D65" s="16">
        <v>2121888</v>
      </c>
      <c r="E65" s="15">
        <v>378078</v>
      </c>
      <c r="F65" s="13">
        <v>5.18</v>
      </c>
      <c r="G65" s="16">
        <v>11757788</v>
      </c>
      <c r="H65" s="16">
        <v>6708481</v>
      </c>
      <c r="I65" s="15">
        <v>116259</v>
      </c>
      <c r="J65" s="15">
        <v>261819</v>
      </c>
      <c r="K65" s="12">
        <v>0.3075</v>
      </c>
      <c r="L65" s="12">
        <v>0.7499999999999999</v>
      </c>
      <c r="M65" s="26">
        <v>0.95</v>
      </c>
      <c r="N65" s="16">
        <v>8830369</v>
      </c>
      <c r="O65" s="16">
        <v>7520724</v>
      </c>
      <c r="P65" s="16">
        <v>474257711</v>
      </c>
      <c r="Q65" s="16">
        <v>398596786</v>
      </c>
    </row>
    <row r="66" spans="2:17">
      <c r="B66" s="17">
        <v>58</v>
      </c>
      <c r="C66" s="18">
        <v>214818</v>
      </c>
      <c r="D66" s="20">
        <v>2121540</v>
      </c>
      <c r="E66" s="18">
        <v>378533</v>
      </c>
      <c r="F66" s="20">
        <v>5.17</v>
      </c>
      <c r="G66" s="20">
        <v>11742095</v>
      </c>
      <c r="H66" s="20">
        <v>6701925</v>
      </c>
      <c r="I66" s="18">
        <v>115453</v>
      </c>
      <c r="J66" s="18">
        <v>263080</v>
      </c>
      <c r="K66" s="19">
        <v>0.305</v>
      </c>
      <c r="L66" s="19">
        <v>0.75</v>
      </c>
      <c r="M66" s="17">
        <v>0.95</v>
      </c>
      <c r="N66" s="20">
        <v>8823465</v>
      </c>
      <c r="O66" s="20">
        <v>7514649</v>
      </c>
      <c r="P66" s="20">
        <v>483081176</v>
      </c>
      <c r="Q66" s="20">
        <v>406111435</v>
      </c>
    </row>
    <row r="67" spans="2:17">
      <c r="B67">
        <v>59</v>
      </c>
      <c r="C67" s="15">
        <v>214783</v>
      </c>
      <c r="D67" s="16">
        <v>2121193</v>
      </c>
      <c r="E67" s="15">
        <v>378988</v>
      </c>
      <c r="F67" s="13">
        <v>5.16</v>
      </c>
      <c r="G67" s="16">
        <v>11726404</v>
      </c>
      <c r="H67" s="16">
        <v>6695356</v>
      </c>
      <c r="I67" s="15">
        <v>114644</v>
      </c>
      <c r="J67" s="15">
        <v>264344</v>
      </c>
      <c r="K67" s="12">
        <v>0.3025</v>
      </c>
      <c r="L67" s="12">
        <v>0.75</v>
      </c>
      <c r="M67" s="26">
        <v>0.95</v>
      </c>
      <c r="N67" s="16">
        <v>8816550</v>
      </c>
      <c r="O67" s="16">
        <v>7508564</v>
      </c>
      <c r="P67" s="16">
        <v>491897725</v>
      </c>
      <c r="Q67" s="16">
        <v>413619998</v>
      </c>
    </row>
    <row r="68" spans="2:17">
      <c r="B68" s="17">
        <v>60</v>
      </c>
      <c r="C68" s="18">
        <v>214748</v>
      </c>
      <c r="D68" s="20">
        <v>2120848</v>
      </c>
      <c r="E68" s="18">
        <v>398640</v>
      </c>
      <c r="F68" s="20">
        <v>5.14</v>
      </c>
      <c r="G68" s="20">
        <v>12303201</v>
      </c>
      <c r="H68" s="20">
        <v>7027183</v>
      </c>
      <c r="I68" s="18">
        <v>119592</v>
      </c>
      <c r="J68" s="18">
        <v>279048</v>
      </c>
      <c r="K68" s="19">
        <v>0.3</v>
      </c>
      <c r="L68" s="19">
        <v>0.75</v>
      </c>
      <c r="M68" s="17">
        <v>1</v>
      </c>
      <c r="N68" s="20">
        <v>9148030</v>
      </c>
      <c r="O68" s="20">
        <v>7800267</v>
      </c>
      <c r="P68" s="20">
        <v>501045756</v>
      </c>
      <c r="Q68" s="20">
        <v>421420265</v>
      </c>
    </row>
  </sheetData>
  <mergeCells count="11">
    <mergeCell ref="B2:M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366F1"/>
  </sheetPr>
  <dimension ref="B2:E18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5" width="22.7109375" customWidth="1"/>
  </cols>
  <sheetData>
    <row r="2" spans="2:5">
      <c r="B2" s="1" t="s">
        <v>184</v>
      </c>
      <c r="C2" s="1"/>
      <c r="D2" s="1"/>
      <c r="E2" s="1"/>
    </row>
    <row r="4" spans="2:5">
      <c r="B4" s="3" t="s">
        <v>185</v>
      </c>
      <c r="C4" s="3"/>
      <c r="D4" s="3"/>
      <c r="E4" s="3"/>
    </row>
    <row r="5" spans="2:5">
      <c r="C5" s="10" t="s">
        <v>77</v>
      </c>
      <c r="D5" s="25" t="s">
        <v>78</v>
      </c>
      <c r="E5" s="10" t="s">
        <v>79</v>
      </c>
    </row>
    <row r="6" spans="2:5">
      <c r="B6" s="4" t="s">
        <v>163</v>
      </c>
      <c r="C6" s="16">
        <v>14040197</v>
      </c>
      <c r="D6" s="16">
        <v>33364446</v>
      </c>
      <c r="E6" s="16">
        <v>62002715</v>
      </c>
    </row>
    <row r="7" spans="2:5">
      <c r="B7" s="4" t="s">
        <v>186</v>
      </c>
      <c r="C7" s="16">
        <v>334939254</v>
      </c>
      <c r="D7" s="16">
        <v>501045756</v>
      </c>
      <c r="E7" s="16">
        <v>628735644</v>
      </c>
    </row>
    <row r="8" spans="2:5">
      <c r="B8" s="4" t="s">
        <v>187</v>
      </c>
      <c r="C8" s="16">
        <v>207911371</v>
      </c>
      <c r="D8" s="16">
        <v>373154140</v>
      </c>
      <c r="E8" s="16">
        <v>500421661</v>
      </c>
    </row>
    <row r="9" spans="2:5">
      <c r="B9" s="4" t="s">
        <v>188</v>
      </c>
      <c r="C9" s="16">
        <v>127027883</v>
      </c>
      <c r="D9" s="16">
        <v>127891616</v>
      </c>
      <c r="E9" s="16">
        <v>128313982</v>
      </c>
    </row>
    <row r="10" spans="2:5">
      <c r="B10" s="4" t="s">
        <v>165</v>
      </c>
      <c r="C10" s="16">
        <v>283046544</v>
      </c>
      <c r="D10" s="16">
        <v>421420265</v>
      </c>
      <c r="E10" s="16">
        <v>524037366</v>
      </c>
    </row>
    <row r="11" spans="2:5">
      <c r="B11" s="4" t="s">
        <v>189</v>
      </c>
      <c r="C11" s="12">
        <v>0.4660857200421404</v>
      </c>
      <c r="D11" s="12">
        <v>0.6681396740600587</v>
      </c>
      <c r="E11" s="12">
        <v>0.7586471770953752</v>
      </c>
    </row>
    <row r="12" spans="2:5">
      <c r="B12" s="4" t="s">
        <v>190</v>
      </c>
      <c r="C12" s="12">
        <v>0.601327259085241</v>
      </c>
      <c r="D12" s="12">
        <v>0.7245413350644545</v>
      </c>
      <c r="E12" s="12">
        <v>0.7707044843790056</v>
      </c>
    </row>
    <row r="13" spans="2:5">
      <c r="B13" s="4" t="s">
        <v>191</v>
      </c>
      <c r="C13" s="12">
        <v>0.32</v>
      </c>
      <c r="D13" s="12">
        <v>0.42</v>
      </c>
      <c r="E13" s="12">
        <v>0.47</v>
      </c>
    </row>
    <row r="14" spans="2:5">
      <c r="B14" s="4" t="s">
        <v>166</v>
      </c>
      <c r="C14" s="12">
        <v>0.4615384615384616</v>
      </c>
      <c r="D14" s="12">
        <v>0.4615384615384616</v>
      </c>
      <c r="E14" s="12">
        <v>0.4615384615384616</v>
      </c>
    </row>
    <row r="15" spans="2:5">
      <c r="B15" s="4" t="s">
        <v>192</v>
      </c>
      <c r="C15" s="12">
        <v>0.0226132738303797</v>
      </c>
      <c r="D15" s="12">
        <v>0.01019542772861357</v>
      </c>
      <c r="E15" s="12">
        <v>0.004027928197801692</v>
      </c>
    </row>
    <row r="16" spans="2:5">
      <c r="B16" s="4" t="s">
        <v>193</v>
      </c>
      <c r="C16" s="16">
        <v>141159654</v>
      </c>
      <c r="D16" s="16">
        <v>141159654</v>
      </c>
      <c r="E16" s="16">
        <v>141159654</v>
      </c>
    </row>
    <row r="17" spans="2:5">
      <c r="B17" s="4" t="s">
        <v>194</v>
      </c>
      <c r="C17" s="12">
        <v>0.3836</v>
      </c>
      <c r="D17" s="12">
        <v>0.3836</v>
      </c>
      <c r="E17" s="12">
        <v>0.3836</v>
      </c>
    </row>
    <row r="18" spans="2:5">
      <c r="B18" s="4" t="s">
        <v>195</v>
      </c>
      <c r="C18" s="16">
        <v>11700000</v>
      </c>
      <c r="D18" s="16">
        <v>19500000</v>
      </c>
      <c r="E18" s="16">
        <v>29250000</v>
      </c>
    </row>
  </sheetData>
  <mergeCells count="2">
    <mergeCell ref="B2:E2"/>
    <mergeCell ref="B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366F1"/>
  </sheetPr>
  <dimension ref="B2:E59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3" width="28.7109375" customWidth="1"/>
    <col min="4" max="4" width="52.7109375" customWidth="1"/>
    <col min="5" max="5" width="42.7109375" customWidth="1"/>
  </cols>
  <sheetData>
    <row r="2" spans="2:5">
      <c r="B2" s="1" t="s">
        <v>196</v>
      </c>
      <c r="C2" s="1"/>
      <c r="D2" s="1"/>
      <c r="E2" s="1"/>
    </row>
    <row r="3" spans="2:5">
      <c r="B3" s="2" t="s">
        <v>197</v>
      </c>
      <c r="C3" s="2"/>
      <c r="D3" s="2"/>
      <c r="E3" s="2"/>
    </row>
    <row r="5" spans="2:5">
      <c r="B5" s="4" t="s">
        <v>198</v>
      </c>
      <c r="C5" s="27" t="s">
        <v>199</v>
      </c>
      <c r="D5" s="11" t="s">
        <v>200</v>
      </c>
    </row>
    <row r="6" spans="2:5">
      <c r="C6" s="28" t="s">
        <v>201</v>
      </c>
      <c r="D6" s="11" t="s">
        <v>202</v>
      </c>
    </row>
    <row r="7" spans="2:5">
      <c r="C7" s="29" t="s">
        <v>203</v>
      </c>
      <c r="D7" s="11" t="s">
        <v>204</v>
      </c>
    </row>
    <row r="8" spans="2:5">
      <c r="C8" s="30" t="s">
        <v>205</v>
      </c>
      <c r="D8" s="11" t="s">
        <v>206</v>
      </c>
    </row>
    <row r="10" spans="2:5">
      <c r="B10" s="3" t="s">
        <v>207</v>
      </c>
      <c r="C10" s="3"/>
      <c r="D10" s="3"/>
      <c r="E10" s="3"/>
    </row>
    <row r="11" spans="2:5">
      <c r="B11" s="10" t="s">
        <v>208</v>
      </c>
      <c r="C11" s="10" t="s">
        <v>209</v>
      </c>
      <c r="D11" s="10" t="s">
        <v>210</v>
      </c>
      <c r="E11" s="10" t="s">
        <v>211</v>
      </c>
    </row>
    <row r="12" spans="2:5">
      <c r="B12" s="4" t="s">
        <v>15</v>
      </c>
      <c r="C12" s="27" t="s">
        <v>212</v>
      </c>
      <c r="D12" s="11" t="s">
        <v>213</v>
      </c>
      <c r="E12" s="27" t="s">
        <v>199</v>
      </c>
    </row>
    <row r="13" spans="2:5">
      <c r="B13" s="4" t="s">
        <v>93</v>
      </c>
      <c r="C13" s="27" t="s">
        <v>214</v>
      </c>
      <c r="D13" s="11" t="s">
        <v>215</v>
      </c>
      <c r="E13" s="27" t="s">
        <v>199</v>
      </c>
    </row>
    <row r="14" spans="2:5">
      <c r="B14" s="4" t="s">
        <v>216</v>
      </c>
      <c r="C14" s="27" t="s">
        <v>217</v>
      </c>
      <c r="D14" s="11" t="s">
        <v>218</v>
      </c>
      <c r="E14" s="27" t="s">
        <v>199</v>
      </c>
    </row>
    <row r="15" spans="2:5">
      <c r="B15" s="4" t="s">
        <v>219</v>
      </c>
      <c r="C15" s="27" t="s">
        <v>220</v>
      </c>
      <c r="D15" s="11" t="s">
        <v>221</v>
      </c>
      <c r="E15" s="27" t="s">
        <v>199</v>
      </c>
    </row>
    <row r="16" spans="2:5">
      <c r="B16" s="4" t="s">
        <v>222</v>
      </c>
      <c r="C16" s="27" t="s">
        <v>223</v>
      </c>
      <c r="D16" s="11" t="s">
        <v>224</v>
      </c>
      <c r="E16" s="27" t="s">
        <v>199</v>
      </c>
    </row>
    <row r="17" spans="2:5">
      <c r="B17" s="4" t="s">
        <v>225</v>
      </c>
      <c r="C17" s="27" t="s">
        <v>226</v>
      </c>
      <c r="D17" s="11" t="s">
        <v>227</v>
      </c>
      <c r="E17" s="27" t="s">
        <v>199</v>
      </c>
    </row>
    <row r="18" spans="2:5">
      <c r="B18" s="4" t="s">
        <v>228</v>
      </c>
      <c r="C18" s="27" t="s">
        <v>229</v>
      </c>
      <c r="D18" s="11" t="s">
        <v>230</v>
      </c>
      <c r="E18" s="27" t="s">
        <v>199</v>
      </c>
    </row>
    <row r="19" spans="2:5">
      <c r="B19" s="4" t="s">
        <v>231</v>
      </c>
      <c r="C19" s="27" t="s">
        <v>232</v>
      </c>
      <c r="D19" s="11" t="s">
        <v>233</v>
      </c>
      <c r="E19" s="27" t="s">
        <v>199</v>
      </c>
    </row>
    <row r="20" spans="2:5">
      <c r="B20" s="4" t="s">
        <v>234</v>
      </c>
      <c r="C20" s="27" t="s">
        <v>235</v>
      </c>
      <c r="D20" s="11" t="s">
        <v>236</v>
      </c>
      <c r="E20" s="27" t="s">
        <v>199</v>
      </c>
    </row>
    <row r="21" spans="2:5">
      <c r="B21" s="4" t="s">
        <v>237</v>
      </c>
      <c r="C21" s="27" t="s">
        <v>238</v>
      </c>
      <c r="D21" s="11" t="s">
        <v>239</v>
      </c>
      <c r="E21" s="27" t="s">
        <v>199</v>
      </c>
    </row>
    <row r="22" spans="2:5">
      <c r="B22" s="4" t="s">
        <v>240</v>
      </c>
      <c r="C22" s="27" t="s">
        <v>241</v>
      </c>
      <c r="D22" s="11" t="s">
        <v>242</v>
      </c>
      <c r="E22" s="27" t="s">
        <v>199</v>
      </c>
    </row>
    <row r="23" spans="2:5">
      <c r="B23" s="4" t="s">
        <v>243</v>
      </c>
      <c r="C23" s="27" t="s">
        <v>244</v>
      </c>
      <c r="D23" s="11" t="s">
        <v>245</v>
      </c>
      <c r="E23" s="27" t="s">
        <v>199</v>
      </c>
    </row>
    <row r="24" spans="2:5">
      <c r="B24" s="4" t="s">
        <v>246</v>
      </c>
      <c r="C24" s="27" t="s">
        <v>247</v>
      </c>
      <c r="D24" s="11" t="s">
        <v>248</v>
      </c>
      <c r="E24" s="27" t="s">
        <v>199</v>
      </c>
    </row>
    <row r="26" spans="2:5">
      <c r="B26" s="3" t="s">
        <v>249</v>
      </c>
      <c r="C26" s="3"/>
      <c r="D26" s="3"/>
      <c r="E26" s="3"/>
    </row>
    <row r="27" spans="2:5">
      <c r="B27" s="10" t="s">
        <v>76</v>
      </c>
      <c r="C27" s="10" t="s">
        <v>250</v>
      </c>
      <c r="D27" s="10" t="s">
        <v>251</v>
      </c>
      <c r="E27" s="10" t="s">
        <v>211</v>
      </c>
    </row>
    <row r="28" spans="2:5">
      <c r="B28" s="4" t="s">
        <v>252</v>
      </c>
      <c r="C28" s="28" t="s">
        <v>253</v>
      </c>
      <c r="D28" s="11" t="s">
        <v>254</v>
      </c>
      <c r="E28" s="28" t="s">
        <v>201</v>
      </c>
    </row>
    <row r="29" spans="2:5">
      <c r="B29" s="4" t="s">
        <v>255</v>
      </c>
      <c r="C29" s="28" t="s">
        <v>256</v>
      </c>
      <c r="D29" s="11" t="s">
        <v>37</v>
      </c>
      <c r="E29" s="28" t="s">
        <v>201</v>
      </c>
    </row>
    <row r="30" spans="2:5">
      <c r="B30" s="4" t="s">
        <v>257</v>
      </c>
      <c r="C30" s="28" t="s">
        <v>258</v>
      </c>
      <c r="D30" s="11" t="s">
        <v>43</v>
      </c>
      <c r="E30" s="28" t="s">
        <v>201</v>
      </c>
    </row>
    <row r="31" spans="2:5">
      <c r="B31" s="4" t="s">
        <v>83</v>
      </c>
      <c r="C31" s="28" t="s">
        <v>259</v>
      </c>
      <c r="D31" s="11" t="s">
        <v>31</v>
      </c>
      <c r="E31" s="28" t="s">
        <v>201</v>
      </c>
    </row>
    <row r="32" spans="2:5">
      <c r="B32" s="4" t="s">
        <v>260</v>
      </c>
      <c r="C32" s="28" t="s">
        <v>261</v>
      </c>
      <c r="D32" s="11" t="s">
        <v>262</v>
      </c>
      <c r="E32" s="28" t="s">
        <v>201</v>
      </c>
    </row>
    <row r="33" spans="2:5">
      <c r="B33" s="4" t="s">
        <v>263</v>
      </c>
      <c r="C33" s="28" t="s">
        <v>264</v>
      </c>
      <c r="D33" s="11" t="s">
        <v>265</v>
      </c>
      <c r="E33" s="28" t="s">
        <v>201</v>
      </c>
    </row>
    <row r="34" spans="2:5">
      <c r="B34" s="4" t="s">
        <v>266</v>
      </c>
      <c r="C34" s="28" t="s">
        <v>267</v>
      </c>
      <c r="D34" s="11" t="s">
        <v>268</v>
      </c>
      <c r="E34" s="28" t="s">
        <v>201</v>
      </c>
    </row>
    <row r="35" spans="2:5">
      <c r="B35" s="4" t="s">
        <v>269</v>
      </c>
      <c r="C35" s="28" t="s">
        <v>270</v>
      </c>
      <c r="D35" s="11" t="s">
        <v>271</v>
      </c>
      <c r="E35" s="28" t="s">
        <v>201</v>
      </c>
    </row>
    <row r="37" spans="2:5">
      <c r="B37" s="3" t="s">
        <v>272</v>
      </c>
      <c r="C37" s="3"/>
      <c r="D37" s="3"/>
      <c r="E37" s="3"/>
    </row>
    <row r="38" spans="2:5">
      <c r="B38" s="10" t="s">
        <v>273</v>
      </c>
      <c r="C38" s="10" t="s">
        <v>274</v>
      </c>
      <c r="D38" s="10" t="s">
        <v>275</v>
      </c>
      <c r="E38" s="10" t="s">
        <v>211</v>
      </c>
    </row>
    <row r="39" spans="2:5" ht="35" customHeight="1">
      <c r="B39" s="4" t="s">
        <v>276</v>
      </c>
      <c r="C39" s="29" t="s">
        <v>277</v>
      </c>
      <c r="D39" s="11" t="s">
        <v>278</v>
      </c>
      <c r="E39" s="29" t="s">
        <v>203</v>
      </c>
    </row>
    <row r="40" spans="2:5" ht="35" customHeight="1">
      <c r="B40" s="4" t="s">
        <v>279</v>
      </c>
      <c r="C40" s="29" t="s">
        <v>280</v>
      </c>
      <c r="D40" s="11" t="s">
        <v>281</v>
      </c>
      <c r="E40" s="29" t="s">
        <v>203</v>
      </c>
    </row>
    <row r="41" spans="2:5" ht="35" customHeight="1">
      <c r="B41" s="4" t="s">
        <v>282</v>
      </c>
      <c r="C41" s="29" t="s">
        <v>283</v>
      </c>
      <c r="D41" s="11" t="s">
        <v>284</v>
      </c>
      <c r="E41" s="29" t="s">
        <v>203</v>
      </c>
    </row>
    <row r="42" spans="2:5" ht="35" customHeight="1">
      <c r="B42" s="4" t="s">
        <v>285</v>
      </c>
      <c r="C42" s="29" t="s">
        <v>286</v>
      </c>
      <c r="D42" s="11" t="s">
        <v>287</v>
      </c>
      <c r="E42" s="29" t="s">
        <v>203</v>
      </c>
    </row>
    <row r="43" spans="2:5" ht="35" customHeight="1">
      <c r="B43" s="4" t="s">
        <v>288</v>
      </c>
      <c r="C43" s="29" t="s">
        <v>289</v>
      </c>
      <c r="D43" s="11" t="s">
        <v>290</v>
      </c>
      <c r="E43" s="29" t="s">
        <v>203</v>
      </c>
    </row>
    <row r="44" spans="2:5" ht="35" customHeight="1">
      <c r="B44" s="4" t="s">
        <v>291</v>
      </c>
      <c r="C44" s="29" t="s">
        <v>292</v>
      </c>
      <c r="D44" s="11" t="s">
        <v>293</v>
      </c>
      <c r="E44" s="29" t="s">
        <v>203</v>
      </c>
    </row>
    <row r="45" spans="2:5" ht="35" customHeight="1">
      <c r="B45" s="4" t="s">
        <v>178</v>
      </c>
      <c r="C45" s="29" t="s">
        <v>294</v>
      </c>
      <c r="D45" s="11" t="s">
        <v>295</v>
      </c>
      <c r="E45" s="29" t="s">
        <v>203</v>
      </c>
    </row>
    <row r="46" spans="2:5" ht="35" customHeight="1">
      <c r="B46" s="4" t="s">
        <v>296</v>
      </c>
      <c r="C46" s="29" t="s">
        <v>297</v>
      </c>
      <c r="D46" s="11" t="s">
        <v>298</v>
      </c>
      <c r="E46" s="29" t="s">
        <v>203</v>
      </c>
    </row>
    <row r="48" spans="2:5">
      <c r="B48" s="3" t="s">
        <v>299</v>
      </c>
      <c r="C48" s="3"/>
      <c r="D48" s="3"/>
      <c r="E48" s="3"/>
    </row>
    <row r="49" spans="2:5">
      <c r="B49" s="10" t="s">
        <v>300</v>
      </c>
      <c r="C49" s="10" t="s">
        <v>301</v>
      </c>
      <c r="D49" s="10" t="s">
        <v>302</v>
      </c>
      <c r="E49" s="10" t="s">
        <v>211</v>
      </c>
    </row>
    <row r="50" spans="2:5">
      <c r="B50" s="4" t="s">
        <v>303</v>
      </c>
      <c r="C50" s="30" t="s">
        <v>304</v>
      </c>
      <c r="D50" s="11" t="s">
        <v>305</v>
      </c>
      <c r="E50" s="30" t="s">
        <v>205</v>
      </c>
    </row>
    <row r="51" spans="2:5">
      <c r="B51" s="4" t="s">
        <v>306</v>
      </c>
      <c r="C51" s="30" t="s">
        <v>307</v>
      </c>
      <c r="D51" s="11" t="s">
        <v>308</v>
      </c>
      <c r="E51" s="30" t="s">
        <v>205</v>
      </c>
    </row>
    <row r="52" spans="2:5">
      <c r="B52" s="4" t="s">
        <v>309</v>
      </c>
      <c r="C52" s="30" t="s">
        <v>310</v>
      </c>
      <c r="D52" s="11" t="s">
        <v>311</v>
      </c>
      <c r="E52" s="30" t="s">
        <v>205</v>
      </c>
    </row>
    <row r="53" spans="2:5">
      <c r="B53" s="4" t="s">
        <v>312</v>
      </c>
      <c r="C53" s="30" t="s">
        <v>313</v>
      </c>
      <c r="D53" s="11" t="s">
        <v>314</v>
      </c>
      <c r="E53" s="30" t="s">
        <v>205</v>
      </c>
    </row>
    <row r="54" spans="2:5">
      <c r="B54" s="4" t="s">
        <v>315</v>
      </c>
      <c r="C54" s="30" t="s">
        <v>316</v>
      </c>
      <c r="D54" s="11" t="s">
        <v>317</v>
      </c>
      <c r="E54" s="30" t="s">
        <v>205</v>
      </c>
    </row>
    <row r="55" spans="2:5">
      <c r="B55" s="4" t="s">
        <v>318</v>
      </c>
      <c r="C55" s="30" t="s">
        <v>319</v>
      </c>
      <c r="D55" s="11" t="s">
        <v>320</v>
      </c>
      <c r="E55" s="30" t="s">
        <v>205</v>
      </c>
    </row>
    <row r="56" spans="2:5">
      <c r="B56" s="4" t="s">
        <v>321</v>
      </c>
      <c r="C56" s="30" t="s">
        <v>322</v>
      </c>
      <c r="D56" s="11" t="s">
        <v>323</v>
      </c>
      <c r="E56" s="30" t="s">
        <v>205</v>
      </c>
    </row>
    <row r="59" spans="2:5">
      <c r="B59" s="6" t="s">
        <v>324</v>
      </c>
      <c r="C59" s="6"/>
      <c r="D59" s="6"/>
      <c r="E59" s="6"/>
    </row>
  </sheetData>
  <mergeCells count="7">
    <mergeCell ref="B2:E2"/>
    <mergeCell ref="B3:E3"/>
    <mergeCell ref="B10:E10"/>
    <mergeCell ref="B26:E26"/>
    <mergeCell ref="B37:E37"/>
    <mergeCell ref="B48:E48"/>
    <mergeCell ref="B59:E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Marktdaten</vt:lpstr>
      <vt:lpstr>Omnichannel</vt:lpstr>
      <vt:lpstr>Forecast</vt:lpstr>
      <vt:lpstr>Dashboard</vt:lpstr>
      <vt:lpstr>Methodik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2026-02-13T14:16:07Z</dcterms:created>
  <dcterms:modified xsi:type="dcterms:W3CDTF">2026-02-13T14:16:07Z</dcterms:modified>
</cp:coreProperties>
</file>