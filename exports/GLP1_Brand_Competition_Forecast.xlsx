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Marktdaten" sheetId="2" r:id="rId2"/>
    <sheet name="Lilly Forecast" sheetId="3" r:id="rId3"/>
    <sheet name="Novo Forecast" sheetId="4" r:id="rId4"/>
    <sheet name="Dashboard" sheetId="5" r:id="rId5"/>
    <sheet name="Methodik" sheetId="6" r:id="rId6"/>
  </sheets>
  <calcPr calcId="124519" fullCalcOnLoad="1"/>
</workbook>
</file>

<file path=xl/sharedStrings.xml><?xml version="1.0" encoding="utf-8"?>
<sst xmlns="http://schemas.openxmlformats.org/spreadsheetml/2006/main" count="624" uniqueCount="433">
  <si>
    <t>GLP-1 Brand Competition - Forecast Modell</t>
  </si>
  <si>
    <t>Mounjaro (Tirzepatid, Lilly) vs. Ozempic/Wegovy (Semaglutid, Novo Nordisk)</t>
  </si>
  <si>
    <t>1. MARKTDEFINITION</t>
  </si>
  <si>
    <t>Markt</t>
  </si>
  <si>
    <t>GLP-1-Rezeptor-Agonisten (GLP-1 RA)</t>
  </si>
  <si>
    <t>ATC-Klasse / Therapiegebiet</t>
  </si>
  <si>
    <t>Geographie</t>
  </si>
  <si>
    <t>Deutschland</t>
  </si>
  <si>
    <t>Zielmarkt</t>
  </si>
  <si>
    <t>T2D-Patienten in DE</t>
  </si>
  <si>
    <t>GKV-Versicherte mit Diabetes mellitus Typ 2</t>
  </si>
  <si>
    <t>GLP-1-Penetration T2D (2024)</t>
  </si>
  <si>
    <t>13.9% der T2D-Patienten auf GLP-1 (BARMER 2025)</t>
  </si>
  <si>
    <t>GLP-1-Penetration Ziel</t>
  </si>
  <si>
    <t>Erwartete Penetration durch Leitlinien-Shift</t>
  </si>
  <si>
    <t>Potenzielle Adipositas-Patienten</t>
  </si>
  <si>
    <t>BMI &gt;= 30 in Deutschland</t>
  </si>
  <si>
    <t>GLP-1 TRx/Monat (gesamt)</t>
  </si>
  <si>
    <t>Monatliche GLP-1-Verordnungen (alle Produkte)</t>
  </si>
  <si>
    <t>Marktwachstum p.a.</t>
  </si>
  <si>
    <t>GLP-1-Segment waechst ~25% p.a. (IQVIA 2024)</t>
  </si>
  <si>
    <t>Forecast-Horizont (Jahre)</t>
  </si>
  <si>
    <t>Prognosezeitraum</t>
  </si>
  <si>
    <t>2. MOUNJARO (Tirzepatid) - ELI LILLY</t>
  </si>
  <si>
    <t>Wirkstoff / Mechanismus</t>
  </si>
  <si>
    <t>Tirzepatid (Dual GIP/GLP-1 RA)</t>
  </si>
  <si>
    <t>Erster dualer Agonist</t>
  </si>
  <si>
    <t>Aktueller Marktanteil (TRx)</t>
  </si>
  <si>
    <t>~8% und steigend (Marktstart DE Nov 2023)</t>
  </si>
  <si>
    <t>Preis/Monat (EUR)</t>
  </si>
  <si>
    <t>~EUR 206-490/Monat, Durchschn. ~EUR 350</t>
  </si>
  <si>
    <t>Peak Share T2D</t>
  </si>
  <si>
    <t>Angestrebter Spitzenanteil im T2D-Segment</t>
  </si>
  <si>
    <t>Peak Share Adipositas</t>
  </si>
  <si>
    <t>Angestrebter Spitzenanteil im Adipositas-Segment</t>
  </si>
  <si>
    <t>Monate bis Peak</t>
  </si>
  <si>
    <t>Monate bis Ziel-Marktanteil</t>
  </si>
  <si>
    <t>Wirksamkeit HbA1c-Reduktion</t>
  </si>
  <si>
    <t>%-Punkte (SURPASS-Studien)</t>
  </si>
  <si>
    <t>Wirksamkeit Gewichtsverlust</t>
  </si>
  <si>
    <t>-22.5% Koerpergewicht (SURMOUNT-1, 72 Wochen)</t>
  </si>
  <si>
    <t>Indikation T2D</t>
  </si>
  <si>
    <t>JA</t>
  </si>
  <si>
    <t>EU-Zulassung seit Sep 2022</t>
  </si>
  <si>
    <t>Indikation Adipositas</t>
  </si>
  <si>
    <t>EU-Zulassung seit Dez 2023</t>
  </si>
  <si>
    <t>Indikation CV-Risiko</t>
  </si>
  <si>
    <t>NEIN</t>
  </si>
  <si>
    <t>Noch nicht zugelassen (Studien laufen)</t>
  </si>
  <si>
    <t>Indikation MASH/NASH</t>
  </si>
  <si>
    <t>Studien laufen (Lilly fuehrend)</t>
  </si>
  <si>
    <t>AMNOG-Status</t>
  </si>
  <si>
    <t>Geheimer Erstattungsbetrag (Aug 2025)</t>
  </si>
  <si>
    <t>Erster vertraulicher EB in DE</t>
  </si>
  <si>
    <t>Lieferengpass</t>
  </si>
  <si>
    <t>Gute Versorgungslage</t>
  </si>
  <si>
    <t>3. OZEMPIC / WEGOVY (Semaglutid) - NOVO NORDISK</t>
  </si>
  <si>
    <t>Semaglutid (GLP-1 RA)</t>
  </si>
  <si>
    <t>Mono-Agonist, breiteste Evidenzbasis</t>
  </si>
  <si>
    <t>Ozempic + Wegovy kombiniert ~36%</t>
  </si>
  <si>
    <t>Preis/Monat Ozempic (EUR)</t>
  </si>
  <si>
    <t>~EUR 300/Monat (1mg Erhaltungsdosis)</t>
  </si>
  <si>
    <t>Verteidigbare Position im T2D-Segment</t>
  </si>
  <si>
    <t>Indikation T2D (Ozempic)</t>
  </si>
  <si>
    <t>Marktfuehrer T2D seit 2020</t>
  </si>
  <si>
    <t>Indikation Adipositas (Wegovy)</t>
  </si>
  <si>
    <t>Adipositas-Zulassung, ABER:</t>
  </si>
  <si>
    <t>Wegovy GKV-Erstattung</t>
  </si>
  <si>
    <t>G-BA Juni 2024: Lifestyle-Arzneimittel, kein GKV</t>
  </si>
  <si>
    <t>Lieferengpass Ozempic</t>
  </si>
  <si>
    <t>Seit 2022, Normalisierung erwartet 2025/2026</t>
  </si>
  <si>
    <t>Engpass endet (Monat)</t>
  </si>
  <si>
    <t>Monate bis volle Versorgung</t>
  </si>
  <si>
    <t>%-Punkte (SUSTAIN-Studien)</t>
  </si>
  <si>
    <t>-15% Koerpergewicht (STEP-Studien, Wegovy)</t>
  </si>
  <si>
    <t>Evidenz-Score</t>
  </si>
  <si>
    <t>9.0 / 10</t>
  </si>
  <si>
    <t>Breiteste Evidenzbasis aller GLP-1 RAs</t>
  </si>
  <si>
    <t>4. INDIKATIONSERWEITERUNGEN &amp; MARKTEXPANSION</t>
  </si>
  <si>
    <t>Adipositas GKV-Erstattung?</t>
  </si>
  <si>
    <t>Gesetzesaenderung fuer Erstattung noetig</t>
  </si>
  <si>
    <t>Falls ja: GKV-Start Jahr</t>
  </si>
  <si>
    <t>Fruehestens 2027 (optimistisch)</t>
  </si>
  <si>
    <t>GKV-Penetration Adipositas</t>
  </si>
  <si>
    <t>5% der 8M Adipositas-Patienten = 400K</t>
  </si>
  <si>
    <t>CV-Indikation (Mounjaro)</t>
  </si>
  <si>
    <t>Kardiovaskulaere Risikoreduktion</t>
  </si>
  <si>
    <t>MASH/NASH-Indikation (Mounjaro)</t>
  </si>
  <si>
    <t>Lebererkrankung, Lilly fuehrend</t>
  </si>
  <si>
    <t>5. KOSTEN &amp; PROFITABILITAET</t>
  </si>
  <si>
    <t>COGS (% vom Umsatz)</t>
  </si>
  <si>
    <t>Biologika/Peptide: typisch 15-25%</t>
  </si>
  <si>
    <t>SG&amp;A / Monat (EUR)</t>
  </si>
  <si>
    <t>Vertrieb, KAM, Marketing</t>
  </si>
  <si>
    <t>Medical Affairs / Monat (EUR)</t>
  </si>
  <si>
    <t>MSL, Studien, Kongresse</t>
  </si>
  <si>
    <t>Preistrend p.a.</t>
  </si>
  <si>
    <t>Jaehrliche Preiserosion (-3%)</t>
  </si>
  <si>
    <t>6. SZENARIO-DEFINITIONEN</t>
  </si>
  <si>
    <t>Parameter</t>
  </si>
  <si>
    <t>Base Case</t>
  </si>
  <si>
    <t>Bull (Lilly)</t>
  </si>
  <si>
    <t>Bull (Novo)</t>
  </si>
  <si>
    <t>Mounjaro Peak Share T2D</t>
  </si>
  <si>
    <t>Mounjaro Peak Share Adipositas</t>
  </si>
  <si>
    <t>Mounjaro Monate bis Peak</t>
  </si>
  <si>
    <t>Novo Peak Share T2D</t>
  </si>
  <si>
    <t>Adipositas GKV-Erstattung</t>
  </si>
  <si>
    <t>Nein</t>
  </si>
  <si>
    <t>Ja (2027)</t>
  </si>
  <si>
    <t>GLP-1-Penetration T2D Ziel</t>
  </si>
  <si>
    <t>GLP-1 Wettbewerbslandschaft - Deutschland (Mid-2025)</t>
  </si>
  <si>
    <t>Produkt</t>
  </si>
  <si>
    <t>Hersteller</t>
  </si>
  <si>
    <t>Marktanteil
(TRx)</t>
  </si>
  <si>
    <t>Preis/Mon.
(EUR)</t>
  </si>
  <si>
    <t>Indikation</t>
  </si>
  <si>
    <t>GKV</t>
  </si>
  <si>
    <t>Lieferung</t>
  </si>
  <si>
    <t>Ozempic (Semaglutid s.c.)</t>
  </si>
  <si>
    <t>Novo Nordisk</t>
  </si>
  <si>
    <t>T2D</t>
  </si>
  <si>
    <t>Ja</t>
  </si>
  <si>
    <t>Engpass</t>
  </si>
  <si>
    <t>Trulicity (Dulaglutid)</t>
  </si>
  <si>
    <t>Eli Lilly</t>
  </si>
  <si>
    <t>OK</t>
  </si>
  <si>
    <t>Mounjaro (Tirzepatid)</t>
  </si>
  <si>
    <t>T2D + Adipositas</t>
  </si>
  <si>
    <t>Ja (T2D)</t>
  </si>
  <si>
    <t>Rybelsus (Semaglutid oral)</t>
  </si>
  <si>
    <t>Victoza (Liraglutid)</t>
  </si>
  <si>
    <t>Wegovy (Semaglutid 2.4mg)</t>
  </si>
  <si>
    <t>Adipositas</t>
  </si>
  <si>
    <t>Sonstige (Exenatid etc.)</t>
  </si>
  <si>
    <t>Diverse</t>
  </si>
  <si>
    <t>Wettbewerbsdifferenzierung: Mounjaro vs. Ozempic</t>
  </si>
  <si>
    <t>Dimension</t>
  </si>
  <si>
    <t>Ozempic (Semaglutid)</t>
  </si>
  <si>
    <t>Vorteil</t>
  </si>
  <si>
    <t>Mechanismus</t>
  </si>
  <si>
    <t>Dual GIP/GLP-1 RA</t>
  </si>
  <si>
    <t>Mono GLP-1 RA</t>
  </si>
  <si>
    <t>Mounjaro</t>
  </si>
  <si>
    <t>HbA1c-Reduktion</t>
  </si>
  <si>
    <t>-2.4 %-Punkte</t>
  </si>
  <si>
    <t>-1.8 %-Punkte</t>
  </si>
  <si>
    <t>Gewichtsverlust</t>
  </si>
  <si>
    <t>-22.5%</t>
  </si>
  <si>
    <t>-15.0%</t>
  </si>
  <si>
    <t>Evidenzbasis</t>
  </si>
  <si>
    <t>Wachsend (SURPASS/SURMOUNT)</t>
  </si>
  <si>
    <t>Am breitesten (SUSTAIN/STEP/SELECT)</t>
  </si>
  <si>
    <t>Ozempic</t>
  </si>
  <si>
    <t>GKV Adipositas</t>
  </si>
  <si>
    <t>Ja (via Mounjaro)</t>
  </si>
  <si>
    <t>Nein (Wegovy ausgeschlossen)</t>
  </si>
  <si>
    <t>Versorgungslage</t>
  </si>
  <si>
    <t>Gut</t>
  </si>
  <si>
    <t>Lieferengpass seit 2022</t>
  </si>
  <si>
    <t>Marktpraesenz</t>
  </si>
  <si>
    <t>Seit Nov 2023 (kurz)</t>
  </si>
  <si>
    <t>Seit Feb 2020 (etabliert)</t>
  </si>
  <si>
    <t>AMNOG-Preis</t>
  </si>
  <si>
    <t>Vertraulich (ab Aug 2025)</t>
  </si>
  <si>
    <t>Vereinbart (oeffentlich)</t>
  </si>
  <si>
    <t>Neutral</t>
  </si>
  <si>
    <t>Marktwachstumstreiber</t>
  </si>
  <si>
    <t>Treiber</t>
  </si>
  <si>
    <t>Auswirkung</t>
  </si>
  <si>
    <t>Zeithorizont</t>
  </si>
  <si>
    <t>Sicherheit</t>
  </si>
  <si>
    <t>Leitlinien-Shift T2D</t>
  </si>
  <si>
    <t>GLP-1 frueher in Therapie: 14% -&gt; 25-30%</t>
  </si>
  <si>
    <t>2025-2030</t>
  </si>
  <si>
    <t>Hoch</t>
  </si>
  <si>
    <t>8M potenzielle Patienten</t>
  </si>
  <si>
    <t>Fruehestens 2027</t>
  </si>
  <si>
    <t>Mittel</t>
  </si>
  <si>
    <t>CV-Risikoreduktion (SELECT)</t>
  </si>
  <si>
    <t>-20% CV-Events -&gt; breitere Zielgruppe</t>
  </si>
  <si>
    <t>2025-2026</t>
  </si>
  <si>
    <t>MASH/NASH-Indikation</t>
  </si>
  <si>
    <t>Neue Patientenpopulation</t>
  </si>
  <si>
    <t>2026-2028</t>
  </si>
  <si>
    <t>Orales Semaglutid 25/50mg</t>
  </si>
  <si>
    <t>Convenience-Shift weg von Injektion</t>
  </si>
  <si>
    <t>Behebung Lieferengpaesse</t>
  </si>
  <si>
    <t>Aufholen unterdrueckter Nachfrage</t>
  </si>
  <si>
    <t>2025</t>
  </si>
  <si>
    <t>Eli Lilly Perspektive - Mounjaro (Tirzepatid) (Base Case)</t>
  </si>
  <si>
    <t>Umsatz Jahr 1</t>
  </si>
  <si>
    <t>Umsatz 5J</t>
  </si>
  <si>
    <t>Peak Marktanteil</t>
  </si>
  <si>
    <t>Market Leader ab</t>
  </si>
  <si>
    <t>–</t>
  </si>
  <si>
    <t>Gewinn 5J</t>
  </si>
  <si>
    <t>Markt: 950,000 -&gt; 1,663,559 TRx/Mon. (x1.8)</t>
  </si>
  <si>
    <t>Monat</t>
  </si>
  <si>
    <t>Mon.
von Start</t>
  </si>
  <si>
    <t>Gesamtmarkt
TRx</t>
  </si>
  <si>
    <t>Mein
Anteil</t>
  </si>
  <si>
    <t>Meine
TRx</t>
  </si>
  <si>
    <t>Ind.-
Multipl.</t>
  </si>
  <si>
    <t>Supply
Gap</t>
  </si>
  <si>
    <t>Mein
Umsatz (EUR)</t>
  </si>
  <si>
    <t>COGS
(EUR)</t>
  </si>
  <si>
    <t>Oper. Gewinn
(EUR)</t>
  </si>
  <si>
    <t>Competitor
Anteil</t>
  </si>
  <si>
    <t>Competitor
TRx</t>
  </si>
  <si>
    <t>Competitor
Umsatz (EUR)</t>
  </si>
  <si>
    <t>Kum. Umsatz
(EUR)</t>
  </si>
  <si>
    <t>Kum. Gewinn
(EUR)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</si>
  <si>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</si>
  <si>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</si>
  <si>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</si>
  <si>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</si>
  <si>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</si>
  <si>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</si>
  <si>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</si>
  <si>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</si>
  <si>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</si>
  <si>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</si>
  <si>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</si>
  <si>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</si>
  <si>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</si>
  <si>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</si>
  <si>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</si>
  <si>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</si>
  <si>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</si>
  <si>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</si>
  <si>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</si>
  <si>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</si>
  <si>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</si>
  <si>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</si>
  <si>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</si>
  <si>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</si>
  <si>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</si>
  <si>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</si>
  <si>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</si>
  <si>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</si>
  <si>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</si>
  <si>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</si>
  <si>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</si>
  <si>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</si>
  <si>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</si>
  <si>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</si>
  <si>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</si>
  <si>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</si>
  <si>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</si>
  <si>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</si>
  <si>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</si>
  <si>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</si>
  <si>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</si>
  <si>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</si>
  <si>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</si>
  <si>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</si>
  <si>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</si>
  <si>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</si>
  <si>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</si>
  <si>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</si>
  <si>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</si>
  <si>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</si>
  <si>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</si>
  <si>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</si>
  <si>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</si>
  <si>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</si>
  <si>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</si>
  <si>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</si>
  <si>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</si>
  <si>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2030-10</t>
  </si>
  <si>
    <t>2030-11</t>
  </si>
  <si>
    <t>2030-12</t>
  </si>
  <si>
    <t>Novo Nordisk Perspektive - Ozempic / Wegovy (Semaglutid) (Base Case)</t>
  </si>
  <si>
    <t>Executive Summary - GLP-1 Brand Competition 2026-2030</t>
  </si>
  <si>
    <t>Head-to-Head Vergleich (Base Case)</t>
  </si>
  <si>
    <t>Mounjaro (Lilly)</t>
  </si>
  <si>
    <t>Ozempic (Novo)</t>
  </si>
  <si>
    <t>Umsatz 5J kumuliert</t>
  </si>
  <si>
    <t>Gewinn 5J kumuliert</t>
  </si>
  <si>
    <t>Share Monat 12</t>
  </si>
  <si>
    <t>Share Monat 36</t>
  </si>
  <si>
    <t>Share Monat 60</t>
  </si>
  <si>
    <t>Durchschn. Preis/Mon.</t>
  </si>
  <si>
    <t>Ind.-Multiplikator (Durchschn.)</t>
  </si>
  <si>
    <t>Lilly (Mounjaro) - Szenario-Vergleich</t>
  </si>
  <si>
    <t>Markt-Wachstum Gesamt</t>
  </si>
  <si>
    <t>Methodik &amp; Transparenz-Matrix</t>
  </si>
  <si>
    <t>Jeder Datenpunkt ist klassifiziert: FAKT / ANNAHME / MODELL / LUECKE</t>
  </si>
  <si>
    <t>Legende:</t>
  </si>
  <si>
    <t>FAKT</t>
  </si>
  <si>
    <t>Aus oeffentlichen Quellen ableitbar</t>
  </si>
  <si>
    <t>ANNAHME</t>
  </si>
  <si>
    <t>Vom User steuerbar (gelbe Zellen)</t>
  </si>
  <si>
    <t>MODELL</t>
  </si>
  <si>
    <t>Mathematisches Modell (branchenvalidiert)</t>
  </si>
  <si>
    <t>LUECKE</t>
  </si>
  <si>
    <t>Fuer Produktiveinsatz benoetigt</t>
  </si>
  <si>
    <t>FAKTEN (aus oeffentlichen Quellen)</t>
  </si>
  <si>
    <t>Datenpunkt</t>
  </si>
  <si>
    <t>Wert im Modell</t>
  </si>
  <si>
    <t>Quelle</t>
  </si>
  <si>
    <t>Kategorie</t>
  </si>
  <si>
    <t>T2D-Patienten Deutschland</t>
  </si>
  <si>
    <t>6.33M GKV-Versicherte</t>
  </si>
  <si>
    <t>BARMER Gesundheitswesen aktuell 2025</t>
  </si>
  <si>
    <t>13.9%</t>
  </si>
  <si>
    <t>BARMER GLP-1-Versorgungsanalyse 2025</t>
  </si>
  <si>
    <t>Mounjaro EU-Zulassung T2D</t>
  </si>
  <si>
    <t>Sep 2022</t>
  </si>
  <si>
    <t>EMA EPAR Mounjaro</t>
  </si>
  <si>
    <t>Mounjaro EU-Zulassung Adipositas</t>
  </si>
  <si>
    <t>Dez 2023</t>
  </si>
  <si>
    <t>Mounjaro Marktstart DE</t>
  </si>
  <si>
    <t>Nov 2023</t>
  </si>
  <si>
    <t>Lilly Deutschland</t>
  </si>
  <si>
    <t>Mounjaro vertraulicher EB</t>
  </si>
  <si>
    <t>Ab Aug 2025</t>
  </si>
  <si>
    <t>G-BA Beschluss / Schiedsspruch</t>
  </si>
  <si>
    <t>Wegovy GKV-Ausschluss</t>
  </si>
  <si>
    <t>G-BA Juni 2024</t>
  </si>
  <si>
    <t>G-BA Beschluss: Lifestyle-Arzneimittel</t>
  </si>
  <si>
    <t>Tirzepatid Wirksamkeit</t>
  </si>
  <si>
    <t>-2.4% HbA1c, -22.5% Gewicht</t>
  </si>
  <si>
    <t>SURPASS / SURMOUNT Studienprogramm</t>
  </si>
  <si>
    <t>Semaglutid Wirksamkeit</t>
  </si>
  <si>
    <t>-1.8% HbA1c, -15% Gewicht</t>
  </si>
  <si>
    <t>SUSTAIN / STEP Studienprogramm</t>
  </si>
  <si>
    <t>SELECT-Studie</t>
  </si>
  <si>
    <t>-20% CV-Events (Semaglutid)</t>
  </si>
  <si>
    <t>NEJM, Lincoff et al. 2023</t>
  </si>
  <si>
    <t>Ozempic Lieferengpass</t>
  </si>
  <si>
    <t>Seit 2022, weltweit</t>
  </si>
  <si>
    <t>BfArM Lieferengpass-Datenbank</t>
  </si>
  <si>
    <t>Semaglutid-Patent Ablauf</t>
  </si>
  <si>
    <t>EU/US: ~2031+</t>
  </si>
  <si>
    <t>Espacenet / FDA Orange Book</t>
  </si>
  <si>
    <t>ANNAHMEN (User-steuerbar)</t>
  </si>
  <si>
    <t>Default-Wert</t>
  </si>
  <si>
    <t>Begruendung</t>
  </si>
  <si>
    <t>25%</t>
  </si>
  <si>
    <t>GLP-1-Segment historisch 25-36% Wachstum (IQVIA)</t>
  </si>
  <si>
    <t>Abhaengig von KOL-Ueberzeugung, Leitlinien-Update</t>
  </si>
  <si>
    <t>35%</t>
  </si>
  <si>
    <t>Bei GKV-Erstattung deutlich hoeher</t>
  </si>
  <si>
    <t>36</t>
  </si>
  <si>
    <t>S-Kurven-Annahme; Launch Nov 2023 + 36M = Nov 2026</t>
  </si>
  <si>
    <t>30%</t>
  </si>
  <si>
    <t>Etablierte Position, breiteste Evidenz</t>
  </si>
  <si>
    <t>Nein (Base)</t>
  </si>
  <si>
    <t>Gesetzesaenderung noetig; fruehestens 2027</t>
  </si>
  <si>
    <t>22%</t>
  </si>
  <si>
    <t>Leitlinien-Shift treibt Penetration nach oben</t>
  </si>
  <si>
    <t>Preistrend</t>
  </si>
  <si>
    <t>-3% p.a.</t>
  </si>
  <si>
    <t>Erfahrungswert bei etablierten Biologika</t>
  </si>
  <si>
    <t>COGS</t>
  </si>
  <si>
    <t>20%</t>
  </si>
  <si>
    <t>Peptid-Biologika: 15-25% typisch</t>
  </si>
  <si>
    <t>SG&amp;A</t>
  </si>
  <si>
    <t>EUR 800K/Monat</t>
  </si>
  <si>
    <t>Firmenspezifisch (Aussendienst, KAM, Marketing)</t>
  </si>
  <si>
    <t>MATHEMATISCHE MODELLE</t>
  </si>
  <si>
    <t>Modell</t>
  </si>
  <si>
    <t>Formel / Logik</t>
  </si>
  <si>
    <t>Validierung / Referenz</t>
  </si>
  <si>
    <t>Marktexpansion</t>
  </si>
  <si>
    <t>Decelerating Growth: TRx(t) = Start * (1+r_dampened)^t, cap = 4x Start</t>
  </si>
  <si>
    <t>Wachstumskurve mit logistischer Daempfung; typisch bei expandierenden Maerkten</t>
  </si>
  <si>
    <t>Share-Shift (S-Kurve)</t>
  </si>
  <si>
    <t>Logistic: Share(t) = Current + (Target-Current) * sigmoid(t, midpoint, steepness)</t>
  </si>
  <si>
    <t>Rogers Adoption Curve; Standard bei Brand-Launch-Forecasts</t>
  </si>
  <si>
    <t>Indikations-Multiplikator</t>
  </si>
  <si>
    <t>Additive Layer: T2D=1.0 + Obesity(0-50%) + CV(0-15%) + MASH(0-10%)</t>
  </si>
  <si>
    <t>Separate Ramp-Funktionen pro Indikation; Timing abhaengig von Zulassung</t>
  </si>
  <si>
    <t>Supply Constraint</t>
  </si>
  <si>
    <t>min(Demand, Capacity) bis Normalisierungsmonat</t>
  </si>
  <si>
    <t>Historisch validierbar durch Ozempic-Engpass 2022-2025</t>
  </si>
  <si>
    <t>Pricing</t>
  </si>
  <si>
    <t>Price(t) = Base * (1 + annual_trend)^(t/12) * (1 - AMNOG_cut)</t>
  </si>
  <si>
    <t>AMNOG Erstattungsbetrag-Mechanik; jaehrliche Preisentwicklung</t>
  </si>
  <si>
    <t>LUECKEN (fuer Produktiveinsatz benoetigt)</t>
  </si>
  <si>
    <t>Gap</t>
  </si>
  <si>
    <t>Beschreibung</t>
  </si>
  <si>
    <t>Datenquelle</t>
  </si>
  <si>
    <t>Echte IQVIA-Daten</t>
  </si>
  <si>
    <t>TRx, NRx auf Monatsebene pro GLP-1-Produkt</t>
  </si>
  <si>
    <t>IQVIA Midas / DPM</t>
  </si>
  <si>
    <t>Mounjaro vertraulicher Preis</t>
  </si>
  <si>
    <t>Tatsaechlicher GKV-Erstattungsbetrag (geheim)</t>
  </si>
  <si>
    <t>Lilly intern / GKV-Spitzenverband</t>
  </si>
  <si>
    <t>Regionale Verschreibungsdaten</t>
  </si>
  <si>
    <t>KV-Regionen: unterschiedliche GLP-1-Adoption</t>
  </si>
  <si>
    <t>IQVIA Regional / KBV</t>
  </si>
  <si>
    <t>Arzt-Segmentierung</t>
  </si>
  <si>
    <t>Diabetologen vs. Hausaerzte: unterschiedliches Verschreibungsverhalten</t>
  </si>
  <si>
    <t>IQVIA / Arztpanel</t>
  </si>
  <si>
    <t>Supply-Engpass Detail</t>
  </si>
  <si>
    <t>Genaue Liefermengen Ozempic pro Monat</t>
  </si>
  <si>
    <t>BfArM / Novo Nordisk</t>
  </si>
  <si>
    <t>Pipeline-Timing</t>
  </si>
  <si>
    <t>FDA/EMA-Einreichungen fuer CV/MASH-Indikationen</t>
  </si>
  <si>
    <t>ClinicalTrials.gov / Company Filings</t>
  </si>
  <si>
    <t>Patienten-Switching</t>
  </si>
  <si>
    <t>Umstellungsraten zwischen GLP-1 Produkten</t>
  </si>
  <si>
    <t>Real World Evidence / IQVIA</t>
  </si>
  <si>
    <t>Strukturelle Unterschiede vs. Generic-Entry-Modell (Eliquis)</t>
  </si>
  <si>
    <t>Generic Entry (Eliquis)</t>
  </si>
  <si>
    <t>Brand Competition (GLP-1)</t>
  </si>
  <si>
    <t>Marktdynamik</t>
  </si>
  <si>
    <t>Markt stagniert/schrumpft</t>
  </si>
  <si>
    <t>Markt expandiert (S-Kurve)</t>
  </si>
  <si>
    <t>Wettbewerber</t>
  </si>
  <si>
    <t>Multiple Generika vs. 1 Originator</t>
  </si>
  <si>
    <t>2 Branded Originatoren</t>
  </si>
  <si>
    <t>Preis-Mechanik</t>
  </si>
  <si>
    <t>Festbetrag / Generika-Erosion</t>
  </si>
  <si>
    <t>AMNOG Erstattungsbetrag</t>
  </si>
  <si>
    <t>Substitution</t>
  </si>
  <si>
    <t>Aut-idem (Apotheke)</t>
  </si>
  <si>
    <t>Keine; Arzt entscheidet</t>
  </si>
  <si>
    <t>Tender</t>
  </si>
  <si>
    <t>Rabattvertraege GKV</t>
  </si>
  <si>
    <t>Nicht relevant (Patentschutz)</t>
  </si>
  <si>
    <t>Indikationen</t>
  </si>
  <si>
    <t>Single Indication</t>
  </si>
  <si>
    <t>Multi-Indication (T2D, Obesity, CV, MASH)</t>
  </si>
  <si>
    <t>Supply</t>
  </si>
  <si>
    <t>Normalerweise kein Engpass</t>
  </si>
  <si>
    <t>Reale Supply Constraints</t>
  </si>
  <si>
    <t>Post-LOE (Erosion)</t>
  </si>
  <si>
    <t>Pre-LOE (Expansion &amp; Competition)</t>
  </si>
  <si>
    <t>Hinweis: Alle Daten sind synthetisch und dienen der Illustration. Angelehnt an oeffentlich verfuegbare Quellen: BARMER 2025, G-BA, IQVIA, EMA. Kein Bezug zu vertraulichen Daten.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</si>
</sst>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%"/>
    <numFmt numFmtId="166" formatCode="€#,##0.00"/>
    <numFmt numFmtId="167" formatCode="€#,##0"/>
    <numFmt numFmtId="168" formatCode="0.000"/>
  </numFmts>
  <fonts count="15">
    <font>
      <sz val="11"/>
      <color theme="1"/>
      <name val="Calibri"/>
      <family val="2"/>
      <scheme val="minor"/>
    </font>
    <font>
      <b/>
      <sz val="16"/>
      <color rgb="FF1E3A5F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2"/>
      <color rgb="FF1E3A5F"/>
      <name val="Calibri"/>
      <family val="2"/>
      <scheme val="minor"/>
    </font>
    <font>
      <b/>
      <sz val="10"/>
      <color rgb="FF374151"/>
      <name val="Calibri"/>
      <family val="2"/>
      <scheme val="minor"/>
    </font>
    <font>
      <b/>
      <sz val="11"/>
      <color rgb="FF1A237E"/>
      <name val="Calibri"/>
      <family val="2"/>
      <scheme val="minor"/>
    </font>
    <font>
      <i/>
      <sz val="9"/>
      <color rgb="FF9CA3A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37415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1E3A5F"/>
      <name val="Calibri"/>
      <family val="2"/>
      <scheme val="minor"/>
    </font>
    <font>
      <b/>
      <sz val="14"/>
      <color rgb="FF9A3412"/>
      <name val="Calibri"/>
      <family val="2"/>
      <scheme val="minor"/>
    </font>
    <font>
      <b/>
      <sz val="14"/>
      <color rgb="FF1E3A5F"/>
      <name val="Calibri"/>
      <family val="2"/>
      <scheme val="minor"/>
    </font>
    <font>
      <b/>
      <sz val="14"/>
      <color rgb="FF166534"/>
      <name val="Calibri"/>
      <family val="2"/>
      <scheme val="minor"/>
    </font>
    <font>
      <b/>
      <sz val="14"/>
      <color rgb="FF1E40A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9A3412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FEF2F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E3A5F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E0B800"/>
      </left>
      <right style="thin">
        <color rgb="FFE0B800"/>
      </right>
      <top style="thin">
        <color rgb="FFE0B800"/>
      </top>
      <bottom style="thin">
        <color rgb="FFE0B8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/>
    <xf numFmtId="0" fontId="4" fillId="0" borderId="0" xfId="0" applyFont="1" applyAlignment="1">
      <alignment vertical="center"/>
    </xf>
    <xf numFmtId="0" fontId="5" fillId="3" borderId="3" xfId="0" applyFont="1" applyFill="1" applyBorder="1"/>
    <xf numFmtId="0" fontId="6" fillId="0" borderId="0" xfId="0" applyFont="1" applyAlignment="1">
      <alignment vertical="center" wrapText="1"/>
    </xf>
    <xf numFmtId="164" fontId="5" fillId="3" borderId="3" xfId="0" applyNumberFormat="1" applyFont="1" applyFill="1" applyBorder="1"/>
    <xf numFmtId="165" fontId="5" fillId="3" borderId="3" xfId="0" applyNumberFormat="1" applyFont="1" applyFill="1" applyBorder="1"/>
    <xf numFmtId="166" fontId="5" fillId="3" borderId="3" xfId="0" applyNumberFormat="1" applyFont="1" applyFill="1" applyBorder="1"/>
    <xf numFmtId="0" fontId="5" fillId="3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5" fontId="0" fillId="0" borderId="0" xfId="0" applyNumberFormat="1"/>
    <xf numFmtId="166" fontId="0" fillId="0" borderId="0" xfId="0" applyNumberFormat="1"/>
    <xf numFmtId="0" fontId="9" fillId="5" borderId="4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vertical="center" wrapText="1"/>
    </xf>
    <xf numFmtId="0" fontId="10" fillId="7" borderId="4" xfId="0" applyFont="1" applyFill="1" applyBorder="1"/>
    <xf numFmtId="167" fontId="11" fillId="8" borderId="4" xfId="0" applyNumberFormat="1" applyFont="1" applyFill="1" applyBorder="1" applyAlignment="1">
      <alignment horizontal="center"/>
    </xf>
    <xf numFmtId="165" fontId="11" fillId="8" borderId="4" xfId="0" applyNumberFormat="1" applyFont="1" applyFill="1" applyBorder="1" applyAlignment="1">
      <alignment horizontal="center"/>
    </xf>
    <xf numFmtId="0" fontId="12" fillId="7" borderId="4" xfId="0" applyFont="1" applyFill="1" applyBorder="1" applyAlignment="1">
      <alignment horizontal="center"/>
    </xf>
    <xf numFmtId="167" fontId="13" fillId="9" borderId="4" xfId="0" applyNumberFormat="1" applyFont="1" applyFill="1" applyBorder="1" applyAlignment="1">
      <alignment horizontal="center"/>
    </xf>
    <xf numFmtId="0" fontId="4" fillId="0" borderId="5" xfId="0" applyFont="1" applyBorder="1"/>
    <xf numFmtId="0" fontId="7" fillId="10" borderId="4" xfId="0" applyFont="1" applyFill="1" applyBorder="1" applyAlignment="1">
      <alignment horizontal="center" vertical="center" wrapText="1"/>
    </xf>
    <xf numFmtId="164" fontId="0" fillId="0" borderId="0" xfId="0" applyNumberFormat="1"/>
    <xf numFmtId="168" fontId="0" fillId="0" borderId="0" xfId="0" applyNumberFormat="1"/>
    <xf numFmtId="167" fontId="0" fillId="0" borderId="0" xfId="0" applyNumberFormat="1"/>
    <xf numFmtId="0" fontId="0" fillId="11" borderId="0" xfId="0" applyFill="1"/>
    <xf numFmtId="164" fontId="0" fillId="11" borderId="0" xfId="0" applyNumberFormat="1" applyFill="1"/>
    <xf numFmtId="165" fontId="0" fillId="11" borderId="0" xfId="0" applyNumberFormat="1" applyFill="1"/>
    <xf numFmtId="168" fontId="0" fillId="11" borderId="0" xfId="0" applyNumberFormat="1" applyFill="1"/>
    <xf numFmtId="167" fontId="0" fillId="11" borderId="0" xfId="0" applyNumberFormat="1" applyFill="1"/>
    <xf numFmtId="167" fontId="14" fillId="6" borderId="4" xfId="0" applyNumberFormat="1" applyFont="1" applyFill="1" applyBorder="1" applyAlignment="1">
      <alignment horizontal="center"/>
    </xf>
    <xf numFmtId="165" fontId="14" fillId="6" borderId="4" xfId="0" applyNumberFormat="1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 vertical="center" wrapText="1"/>
    </xf>
    <xf numFmtId="0" fontId="9" fillId="13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Marktanteils-Wettlauf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Mounjaro</c:v>
          </c:tx>
          <c:spPr>
            <a:ln w="31750">
              <a:solidFill>
                <a:srgbClr val="F59E0B"/>
              </a:solidFill>
            </a:ln>
          </c:spPr>
          <c:marker>
            <c:symbol val="none"/>
          </c:marker>
          <c:cat>
            <c:strRef>
              <c:f>'Lilly Forecast'!$B$10:$B$69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'Lilly Forecast'!$E$10:$E$69</c:f>
              <c:numCache>
                <c:formatCode>General</c:formatCode>
                <c:ptCount val="60"/>
                <c:pt idx="0">
                  <c:v>0.1003</c:v>
                </c:pt>
                <c:pt idx="1">
                  <c:v>0.1023</c:v>
                </c:pt>
                <c:pt idx="2">
                  <c:v>0.1046</c:v>
                </c:pt>
                <c:pt idx="3">
                  <c:v>0.107</c:v>
                </c:pt>
                <c:pt idx="4">
                  <c:v>0.1096</c:v>
                </c:pt>
                <c:pt idx="5">
                  <c:v>0.1124</c:v>
                </c:pt>
                <c:pt idx="6">
                  <c:v>0.1155</c:v>
                </c:pt>
                <c:pt idx="7">
                  <c:v>0.1187</c:v>
                </c:pt>
                <c:pt idx="8">
                  <c:v>0.1221</c:v>
                </c:pt>
                <c:pt idx="9">
                  <c:v>0.1257</c:v>
                </c:pt>
                <c:pt idx="10">
                  <c:v>0.1295</c:v>
                </c:pt>
                <c:pt idx="11">
                  <c:v>0.1335</c:v>
                </c:pt>
                <c:pt idx="12">
                  <c:v>0.1377</c:v>
                </c:pt>
                <c:pt idx="13">
                  <c:v>0.142</c:v>
                </c:pt>
                <c:pt idx="14">
                  <c:v>0.1464</c:v>
                </c:pt>
                <c:pt idx="15">
                  <c:v>0.151</c:v>
                </c:pt>
                <c:pt idx="16">
                  <c:v>0.1556</c:v>
                </c:pt>
                <c:pt idx="17">
                  <c:v>0.1603</c:v>
                </c:pt>
                <c:pt idx="18">
                  <c:v>0.165</c:v>
                </c:pt>
                <c:pt idx="19">
                  <c:v>0.1697</c:v>
                </c:pt>
                <c:pt idx="20">
                  <c:v>0.1744</c:v>
                </c:pt>
                <c:pt idx="21">
                  <c:v>0.179</c:v>
                </c:pt>
                <c:pt idx="22">
                  <c:v>0.1836</c:v>
                </c:pt>
                <c:pt idx="23">
                  <c:v>0.188</c:v>
                </c:pt>
                <c:pt idx="24">
                  <c:v>0.1923</c:v>
                </c:pt>
                <c:pt idx="25">
                  <c:v>0.1965</c:v>
                </c:pt>
                <c:pt idx="26">
                  <c:v>0.2005</c:v>
                </c:pt>
                <c:pt idx="27">
                  <c:v>0.2043</c:v>
                </c:pt>
                <c:pt idx="28">
                  <c:v>0.2079</c:v>
                </c:pt>
                <c:pt idx="29">
                  <c:v>0.2113</c:v>
                </c:pt>
                <c:pt idx="30">
                  <c:v>0.2145</c:v>
                </c:pt>
                <c:pt idx="31">
                  <c:v>0.2176</c:v>
                </c:pt>
                <c:pt idx="32">
                  <c:v>0.2204</c:v>
                </c:pt>
                <c:pt idx="33">
                  <c:v>0.223</c:v>
                </c:pt>
                <c:pt idx="34">
                  <c:v>0.2254</c:v>
                </c:pt>
                <c:pt idx="35">
                  <c:v>0.2277</c:v>
                </c:pt>
                <c:pt idx="36">
                  <c:v>0.2297</c:v>
                </c:pt>
                <c:pt idx="37">
                  <c:v>0.2316</c:v>
                </c:pt>
                <c:pt idx="38">
                  <c:v>0.2334</c:v>
                </c:pt>
                <c:pt idx="39">
                  <c:v>0.235</c:v>
                </c:pt>
                <c:pt idx="40">
                  <c:v>0.2364</c:v>
                </c:pt>
                <c:pt idx="41">
                  <c:v>0.2378</c:v>
                </c:pt>
                <c:pt idx="42">
                  <c:v>0.239</c:v>
                </c:pt>
                <c:pt idx="43">
                  <c:v>0.24</c:v>
                </c:pt>
                <c:pt idx="44">
                  <c:v>0.241</c:v>
                </c:pt>
                <c:pt idx="45">
                  <c:v>0.2419</c:v>
                </c:pt>
                <c:pt idx="46">
                  <c:v>0.2427</c:v>
                </c:pt>
                <c:pt idx="47">
                  <c:v>0.2435</c:v>
                </c:pt>
                <c:pt idx="48">
                  <c:v>0.2441</c:v>
                </c:pt>
                <c:pt idx="49">
                  <c:v>0.2447</c:v>
                </c:pt>
                <c:pt idx="50">
                  <c:v>0.2453</c:v>
                </c:pt>
                <c:pt idx="51">
                  <c:v>0.2458</c:v>
                </c:pt>
                <c:pt idx="52">
                  <c:v>0.2462</c:v>
                </c:pt>
                <c:pt idx="53">
                  <c:v>0.2466</c:v>
                </c:pt>
                <c:pt idx="54">
                  <c:v>0.2469</c:v>
                </c:pt>
                <c:pt idx="55">
                  <c:v>0.2473</c:v>
                </c:pt>
                <c:pt idx="56">
                  <c:v>0.2475</c:v>
                </c:pt>
                <c:pt idx="57">
                  <c:v>0.2478</c:v>
                </c:pt>
                <c:pt idx="58">
                  <c:v>0.248</c:v>
                </c:pt>
                <c:pt idx="59">
                  <c:v>0.2482</c:v>
                </c:pt>
              </c:numCache>
            </c:numRef>
          </c:val>
        </c:ser>
        <c:ser>
          <c:idx val="1"/>
          <c:order val="1"/>
          <c:tx>
            <c:v>Ozempic / Wegovy</c:v>
          </c:tx>
          <c:spPr>
            <a:ln w="31750">
              <a:solidFill>
                <a:srgbClr val="2563EB"/>
              </a:solidFill>
              <a:prstDash val="dash"/>
            </a:ln>
          </c:spPr>
          <c:marker>
            <c:symbol val="none"/>
          </c:marker>
          <c:cat>
            <c:strRef>
              <c:f>'Lilly Forecast'!$B$10:$B$69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'Lilly Forecast'!$M$10:$M$69</c:f>
              <c:numCache>
                <c:formatCode>General</c:formatCode>
                <c:ptCount val="60"/>
                <c:pt idx="0">
                  <c:v>0.3528</c:v>
                </c:pt>
                <c:pt idx="1">
                  <c:v>0.3521</c:v>
                </c:pt>
                <c:pt idx="2">
                  <c:v>0.3513</c:v>
                </c:pt>
                <c:pt idx="3">
                  <c:v>0.3505</c:v>
                </c:pt>
                <c:pt idx="4">
                  <c:v>0.3495</c:v>
                </c:pt>
                <c:pt idx="5">
                  <c:v>0.3485</c:v>
                </c:pt>
                <c:pt idx="6">
                  <c:v>0.3475</c:v>
                </c:pt>
                <c:pt idx="7">
                  <c:v>0.3463</c:v>
                </c:pt>
                <c:pt idx="8">
                  <c:v>0.3451</c:v>
                </c:pt>
                <c:pt idx="9">
                  <c:v>0.3439</c:v>
                </c:pt>
                <c:pt idx="10">
                  <c:v>0.3425</c:v>
                </c:pt>
                <c:pt idx="11">
                  <c:v>0.3411</c:v>
                </c:pt>
                <c:pt idx="12">
                  <c:v>0.3396</c:v>
                </c:pt>
                <c:pt idx="13">
                  <c:v>0.3381</c:v>
                </c:pt>
                <c:pt idx="14">
                  <c:v>0.3366</c:v>
                </c:pt>
                <c:pt idx="15">
                  <c:v>0.335</c:v>
                </c:pt>
                <c:pt idx="16">
                  <c:v>0.3333</c:v>
                </c:pt>
                <c:pt idx="17">
                  <c:v>0.3317</c:v>
                </c:pt>
                <c:pt idx="18">
                  <c:v>0.33</c:v>
                </c:pt>
                <c:pt idx="19">
                  <c:v>0.3283</c:v>
                </c:pt>
                <c:pt idx="20">
                  <c:v>0.3267</c:v>
                </c:pt>
                <c:pt idx="21">
                  <c:v>0.325</c:v>
                </c:pt>
                <c:pt idx="22">
                  <c:v>0.3234</c:v>
                </c:pt>
                <c:pt idx="23">
                  <c:v>0.3219</c:v>
                </c:pt>
                <c:pt idx="24">
                  <c:v>0.3204</c:v>
                </c:pt>
                <c:pt idx="25">
                  <c:v>0.3189</c:v>
                </c:pt>
                <c:pt idx="26">
                  <c:v>0.3175</c:v>
                </c:pt>
                <c:pt idx="27">
                  <c:v>0.3161</c:v>
                </c:pt>
                <c:pt idx="28">
                  <c:v>0.3149</c:v>
                </c:pt>
                <c:pt idx="29">
                  <c:v>0.3137</c:v>
                </c:pt>
                <c:pt idx="30">
                  <c:v>0.3125</c:v>
                </c:pt>
                <c:pt idx="31">
                  <c:v>0.3115</c:v>
                </c:pt>
                <c:pt idx="32">
                  <c:v>0.3105</c:v>
                </c:pt>
                <c:pt idx="33">
                  <c:v>0.3095</c:v>
                </c:pt>
                <c:pt idx="34">
                  <c:v>0.3087</c:v>
                </c:pt>
                <c:pt idx="35">
                  <c:v>0.3079</c:v>
                </c:pt>
                <c:pt idx="36">
                  <c:v>0.3072</c:v>
                </c:pt>
                <c:pt idx="37">
                  <c:v>0.3065</c:v>
                </c:pt>
                <c:pt idx="38">
                  <c:v>0.3059</c:v>
                </c:pt>
                <c:pt idx="39">
                  <c:v>0.3053</c:v>
                </c:pt>
                <c:pt idx="40">
                  <c:v>0.3048</c:v>
                </c:pt>
                <c:pt idx="41">
                  <c:v>0.3043</c:v>
                </c:pt>
                <c:pt idx="42">
                  <c:v>0.3039</c:v>
                </c:pt>
                <c:pt idx="43">
                  <c:v>0.3035</c:v>
                </c:pt>
                <c:pt idx="44">
                  <c:v>0.3032</c:v>
                </c:pt>
                <c:pt idx="45">
                  <c:v>0.3028</c:v>
                </c:pt>
                <c:pt idx="46">
                  <c:v>0.3026</c:v>
                </c:pt>
                <c:pt idx="47">
                  <c:v>0.3023</c:v>
                </c:pt>
                <c:pt idx="48">
                  <c:v>0.3021</c:v>
                </c:pt>
                <c:pt idx="49">
                  <c:v>0.3019</c:v>
                </c:pt>
                <c:pt idx="50">
                  <c:v>0.3017</c:v>
                </c:pt>
                <c:pt idx="51">
                  <c:v>0.3015</c:v>
                </c:pt>
                <c:pt idx="52">
                  <c:v>0.3013</c:v>
                </c:pt>
                <c:pt idx="53">
                  <c:v>0.3012</c:v>
                </c:pt>
                <c:pt idx="54">
                  <c:v>0.3011</c:v>
                </c:pt>
                <c:pt idx="55">
                  <c:v>0.301</c:v>
                </c:pt>
                <c:pt idx="56">
                  <c:v>0.3009</c:v>
                </c:pt>
                <c:pt idx="57">
                  <c:v>0.3008</c:v>
                </c:pt>
                <c:pt idx="58">
                  <c:v>0.3007</c:v>
                </c:pt>
                <c:pt idx="59">
                  <c:v>0.3006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Marktanteil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Umsatz-Aufbau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Monatl. Umsatz</c:v>
          </c:tx>
          <c:spPr>
            <a:solidFill>
              <a:srgbClr val="F59E0B"/>
            </a:solidFill>
            <a:ln>
              <a:solidFill>
                <a:srgbClr val="92400E"/>
              </a:solidFill>
            </a:ln>
          </c:spPr>
          <c:cat>
            <c:strRef>
              <c:f>'Lilly Forecast'!$B$10:$B$69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'Lilly Forecast'!$J$10:$J$69</c:f>
              <c:numCache>
                <c:formatCode>General</c:formatCode>
                <c:ptCount val="60"/>
                <c:pt idx="0">
                  <c:v>33337850</c:v>
                </c:pt>
                <c:pt idx="1">
                  <c:v>34647693.19</c:v>
                </c:pt>
                <c:pt idx="2">
                  <c:v>36044354.35</c:v>
                </c:pt>
                <c:pt idx="3">
                  <c:v>37532704.95</c:v>
                </c:pt>
                <c:pt idx="4">
                  <c:v>39118256.55</c:v>
                </c:pt>
                <c:pt idx="5">
                  <c:v>40806461.18</c:v>
                </c:pt>
                <c:pt idx="6">
                  <c:v>42601677.62</c:v>
                </c:pt>
                <c:pt idx="7">
                  <c:v>44506497.21</c:v>
                </c:pt>
                <c:pt idx="8">
                  <c:v>46524852.64</c:v>
                </c:pt>
                <c:pt idx="9">
                  <c:v>48657211.4</c:v>
                </c:pt>
                <c:pt idx="10">
                  <c:v>50905055.44</c:v>
                </c:pt>
                <c:pt idx="11">
                  <c:v>53265422.44</c:v>
                </c:pt>
                <c:pt idx="12">
                  <c:v>55735715</c:v>
                </c:pt>
                <c:pt idx="13">
                  <c:v>58311325.77</c:v>
                </c:pt>
                <c:pt idx="14">
                  <c:v>60985663</c:v>
                </c:pt>
                <c:pt idx="15">
                  <c:v>63750512.98</c:v>
                </c:pt>
                <c:pt idx="16">
                  <c:v>66595052.71</c:v>
                </c:pt>
                <c:pt idx="17">
                  <c:v>69507894.84</c:v>
                </c:pt>
                <c:pt idx="18">
                  <c:v>72476092.42</c:v>
                </c:pt>
                <c:pt idx="19">
                  <c:v>75486159.88</c:v>
                </c:pt>
                <c:pt idx="20">
                  <c:v>78522084.68000001</c:v>
                </c:pt>
                <c:pt idx="21">
                  <c:v>81570337.68000001</c:v>
                </c:pt>
                <c:pt idx="22">
                  <c:v>84614546.81</c:v>
                </c:pt>
                <c:pt idx="23">
                  <c:v>87639825.91</c:v>
                </c:pt>
                <c:pt idx="24">
                  <c:v>90633086.36</c:v>
                </c:pt>
                <c:pt idx="25">
                  <c:v>93580058.8</c:v>
                </c:pt>
                <c:pt idx="26">
                  <c:v>96468585.55</c:v>
                </c:pt>
                <c:pt idx="27">
                  <c:v>99288267.83</c:v>
                </c:pt>
                <c:pt idx="28">
                  <c:v>102029140.37</c:v>
                </c:pt>
                <c:pt idx="29">
                  <c:v>104683617.56</c:v>
                </c:pt>
                <c:pt idx="30">
                  <c:v>107245166.55</c:v>
                </c:pt>
                <c:pt idx="31">
                  <c:v>109707970.93</c:v>
                </c:pt>
                <c:pt idx="32">
                  <c:v>112069180.92</c:v>
                </c:pt>
                <c:pt idx="33">
                  <c:v>114325657.42</c:v>
                </c:pt>
                <c:pt idx="34">
                  <c:v>116475902.19</c:v>
                </c:pt>
                <c:pt idx="35">
                  <c:v>118520037.32</c:v>
                </c:pt>
                <c:pt idx="36">
                  <c:v>120457868.16</c:v>
                </c:pt>
                <c:pt idx="37">
                  <c:v>122039084.77</c:v>
                </c:pt>
                <c:pt idx="38">
                  <c:v>123510444.2</c:v>
                </c:pt>
                <c:pt idx="39">
                  <c:v>124874968.57</c:v>
                </c:pt>
                <c:pt idx="40">
                  <c:v>126135653.49</c:v>
                </c:pt>
                <c:pt idx="41">
                  <c:v>127294837.38</c:v>
                </c:pt>
                <c:pt idx="42">
                  <c:v>128356726.52</c:v>
                </c:pt>
                <c:pt idx="43">
                  <c:v>129323919.31</c:v>
                </c:pt>
                <c:pt idx="44">
                  <c:v>130200243.52</c:v>
                </c:pt>
                <c:pt idx="45">
                  <c:v>130989179.48</c:v>
                </c:pt>
                <c:pt idx="46">
                  <c:v>131693241.36</c:v>
                </c:pt>
                <c:pt idx="47">
                  <c:v>132315853.06</c:v>
                </c:pt>
                <c:pt idx="48">
                  <c:v>132860716.84</c:v>
                </c:pt>
                <c:pt idx="49">
                  <c:v>133329337.05</c:v>
                </c:pt>
                <c:pt idx="50">
                  <c:v>133725055.41</c:v>
                </c:pt>
                <c:pt idx="51">
                  <c:v>134050875.17</c:v>
                </c:pt>
                <c:pt idx="52">
                  <c:v>134308238.29</c:v>
                </c:pt>
                <c:pt idx="53">
                  <c:v>134500410.43</c:v>
                </c:pt>
                <c:pt idx="54">
                  <c:v>134628795.74</c:v>
                </c:pt>
                <c:pt idx="55">
                  <c:v>134695395.42</c:v>
                </c:pt>
                <c:pt idx="56">
                  <c:v>134703103.68</c:v>
                </c:pt>
                <c:pt idx="57">
                  <c:v>134652364.91</c:v>
                </c:pt>
                <c:pt idx="58">
                  <c:v>134545433.81</c:v>
                </c:pt>
                <c:pt idx="59">
                  <c:v>134383941.77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Kum. Umsatz</c:v>
          </c:tx>
          <c:spPr>
            <a:ln w="31750">
              <a:solidFill>
                <a:srgbClr val="166534"/>
              </a:solidFill>
            </a:ln>
          </c:spPr>
          <c:marker>
            <c:symbol val="none"/>
          </c:marker>
          <c:cat>
            <c:strRef>
              <c:f>'Lilly Forecast'!$B$10:$B$69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'Lilly Forecast'!$P$10:$P$69</c:f>
              <c:numCache>
                <c:formatCode>General</c:formatCode>
                <c:ptCount val="60"/>
                <c:pt idx="0">
                  <c:v>33337850</c:v>
                </c:pt>
                <c:pt idx="1">
                  <c:v>67985543.19</c:v>
                </c:pt>
                <c:pt idx="2">
                  <c:v>104029897.53</c:v>
                </c:pt>
                <c:pt idx="3">
                  <c:v>141562602.48</c:v>
                </c:pt>
                <c:pt idx="4">
                  <c:v>180680859.03</c:v>
                </c:pt>
                <c:pt idx="5">
                  <c:v>221487320.21</c:v>
                </c:pt>
                <c:pt idx="6">
                  <c:v>264088997.83</c:v>
                </c:pt>
                <c:pt idx="7">
                  <c:v>308595495.04</c:v>
                </c:pt>
                <c:pt idx="8">
                  <c:v>355120347.68</c:v>
                </c:pt>
                <c:pt idx="9">
                  <c:v>403777559.08</c:v>
                </c:pt>
                <c:pt idx="10">
                  <c:v>454682614.52</c:v>
                </c:pt>
                <c:pt idx="11">
                  <c:v>507948036.95</c:v>
                </c:pt>
                <c:pt idx="12">
                  <c:v>563683751.95</c:v>
                </c:pt>
                <c:pt idx="13">
                  <c:v>621995077.72</c:v>
                </c:pt>
                <c:pt idx="14">
                  <c:v>682980740.72</c:v>
                </c:pt>
                <c:pt idx="15">
                  <c:v>746731253.71</c:v>
                </c:pt>
                <c:pt idx="16">
                  <c:v>813326306.41</c:v>
                </c:pt>
                <c:pt idx="17">
                  <c:v>882834201.26</c:v>
                </c:pt>
                <c:pt idx="18">
                  <c:v>955310293.6799999</c:v>
                </c:pt>
                <c:pt idx="19">
                  <c:v>1030796453.55</c:v>
                </c:pt>
                <c:pt idx="20">
                  <c:v>1109318538.23</c:v>
                </c:pt>
                <c:pt idx="21">
                  <c:v>1190888875.92</c:v>
                </c:pt>
                <c:pt idx="22">
                  <c:v>1275503422.72</c:v>
                </c:pt>
                <c:pt idx="23">
                  <c:v>1363143248.64</c:v>
                </c:pt>
                <c:pt idx="24">
                  <c:v>1453776334.99</c:v>
                </c:pt>
                <c:pt idx="25">
                  <c:v>1547356393.8</c:v>
                </c:pt>
                <c:pt idx="26">
                  <c:v>1643824979.34</c:v>
                </c:pt>
                <c:pt idx="27">
                  <c:v>1743113247.17</c:v>
                </c:pt>
                <c:pt idx="28">
                  <c:v>1845142387.54</c:v>
                </c:pt>
                <c:pt idx="29">
                  <c:v>1949826005.1</c:v>
                </c:pt>
                <c:pt idx="30">
                  <c:v>2057071171.65</c:v>
                </c:pt>
                <c:pt idx="31">
                  <c:v>2166779142.58</c:v>
                </c:pt>
                <c:pt idx="32">
                  <c:v>2278848323.5</c:v>
                </c:pt>
                <c:pt idx="33">
                  <c:v>2393173980.92</c:v>
                </c:pt>
                <c:pt idx="34">
                  <c:v>2509649883.11</c:v>
                </c:pt>
                <c:pt idx="35">
                  <c:v>2628169920.43</c:v>
                </c:pt>
                <c:pt idx="36">
                  <c:v>2748627788.6</c:v>
                </c:pt>
                <c:pt idx="37">
                  <c:v>2870666873.36</c:v>
                </c:pt>
                <c:pt idx="38">
                  <c:v>2994177317.56</c:v>
                </c:pt>
                <c:pt idx="39">
                  <c:v>3119052286.13</c:v>
                </c:pt>
                <c:pt idx="40">
                  <c:v>3245187939.62</c:v>
                </c:pt>
                <c:pt idx="41">
                  <c:v>3372482777</c:v>
                </c:pt>
                <c:pt idx="42">
                  <c:v>3500839503.52</c:v>
                </c:pt>
                <c:pt idx="43">
                  <c:v>3630163422.83</c:v>
                </c:pt>
                <c:pt idx="44">
                  <c:v>3760363666.36</c:v>
                </c:pt>
                <c:pt idx="45">
                  <c:v>3891352845.84</c:v>
                </c:pt>
                <c:pt idx="46">
                  <c:v>4023046087.19</c:v>
                </c:pt>
                <c:pt idx="47">
                  <c:v>4155361940.25</c:v>
                </c:pt>
                <c:pt idx="48">
                  <c:v>4288222657.09</c:v>
                </c:pt>
                <c:pt idx="49">
                  <c:v>4421551994.14</c:v>
                </c:pt>
                <c:pt idx="50">
                  <c:v>4555277049.55</c:v>
                </c:pt>
                <c:pt idx="51">
                  <c:v>4689327924.72</c:v>
                </c:pt>
                <c:pt idx="52">
                  <c:v>4823636163.01</c:v>
                </c:pt>
                <c:pt idx="53">
                  <c:v>4958136573.44</c:v>
                </c:pt>
                <c:pt idx="54">
                  <c:v>5092765369.19</c:v>
                </c:pt>
                <c:pt idx="55">
                  <c:v>5227460764.61</c:v>
                </c:pt>
                <c:pt idx="56">
                  <c:v>5362163868.28</c:v>
                </c:pt>
                <c:pt idx="57">
                  <c:v>5496816233.19</c:v>
                </c:pt>
                <c:pt idx="58">
                  <c:v>5631361667</c:v>
                </c:pt>
                <c:pt idx="59">
                  <c:v>5765745608.77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Monatl. Umsatz (EUR)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GLP-1 Marktexpansion (TRx / Monat)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Gesamtmarkt GLP-1</c:v>
          </c:tx>
          <c:spPr>
            <a:solidFill>
              <a:srgbClr val="C7D2FE"/>
            </a:solidFill>
            <a:ln w="25400">
              <a:solidFill>
                <a:srgbClr val="6366F1"/>
              </a:solidFill>
            </a:ln>
          </c:spPr>
          <c:cat>
            <c:strRef>
              <c:f>'Lilly Forecast'!$B$10:$B$69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'Lilly Forecast'!$D$10:$D$69</c:f>
              <c:numCache>
                <c:formatCode>General</c:formatCode>
                <c:ptCount val="60"/>
                <c:pt idx="0">
                  <c:v>950000</c:v>
                </c:pt>
                <c:pt idx="1">
                  <c:v>967682</c:v>
                </c:pt>
                <c:pt idx="2">
                  <c:v>985390</c:v>
                </c:pt>
                <c:pt idx="3">
                  <c:v>1003115</c:v>
                </c:pt>
                <c:pt idx="4">
                  <c:v>1020844</c:v>
                </c:pt>
                <c:pt idx="5">
                  <c:v>1038568</c:v>
                </c:pt>
                <c:pt idx="6">
                  <c:v>1056275</c:v>
                </c:pt>
                <c:pt idx="7">
                  <c:v>1073953</c:v>
                </c:pt>
                <c:pt idx="8">
                  <c:v>1091592</c:v>
                </c:pt>
                <c:pt idx="9">
                  <c:v>1109178</c:v>
                </c:pt>
                <c:pt idx="10">
                  <c:v>1126702</c:v>
                </c:pt>
                <c:pt idx="11">
                  <c:v>1144150</c:v>
                </c:pt>
                <c:pt idx="12">
                  <c:v>1161510</c:v>
                </c:pt>
                <c:pt idx="13">
                  <c:v>1178772</c:v>
                </c:pt>
                <c:pt idx="14">
                  <c:v>1195921</c:v>
                </c:pt>
                <c:pt idx="15">
                  <c:v>1212946</c:v>
                </c:pt>
                <c:pt idx="16">
                  <c:v>1229834</c:v>
                </c:pt>
                <c:pt idx="17">
                  <c:v>1246573</c:v>
                </c:pt>
                <c:pt idx="18">
                  <c:v>1263151</c:v>
                </c:pt>
                <c:pt idx="19">
                  <c:v>1279555</c:v>
                </c:pt>
                <c:pt idx="20">
                  <c:v>1295771</c:v>
                </c:pt>
                <c:pt idx="21">
                  <c:v>1311789</c:v>
                </c:pt>
                <c:pt idx="22">
                  <c:v>1327595</c:v>
                </c:pt>
                <c:pt idx="23">
                  <c:v>1343177</c:v>
                </c:pt>
                <c:pt idx="24">
                  <c:v>1358522</c:v>
                </c:pt>
                <c:pt idx="25">
                  <c:v>1373619</c:v>
                </c:pt>
                <c:pt idx="26">
                  <c:v>1388454</c:v>
                </c:pt>
                <c:pt idx="27">
                  <c:v>1403016</c:v>
                </c:pt>
                <c:pt idx="28">
                  <c:v>1417293</c:v>
                </c:pt>
                <c:pt idx="29">
                  <c:v>1431272</c:v>
                </c:pt>
                <c:pt idx="30">
                  <c:v>1444943</c:v>
                </c:pt>
                <c:pt idx="31">
                  <c:v>1458294</c:v>
                </c:pt>
                <c:pt idx="32">
                  <c:v>1471312</c:v>
                </c:pt>
                <c:pt idx="33">
                  <c:v>1483988</c:v>
                </c:pt>
                <c:pt idx="34">
                  <c:v>1496310</c:v>
                </c:pt>
                <c:pt idx="35">
                  <c:v>1508268</c:v>
                </c:pt>
                <c:pt idx="36">
                  <c:v>1519850</c:v>
                </c:pt>
                <c:pt idx="37">
                  <c:v>1531047</c:v>
                </c:pt>
                <c:pt idx="38">
                  <c:v>1541849</c:v>
                </c:pt>
                <c:pt idx="39">
                  <c:v>1552247</c:v>
                </c:pt>
                <c:pt idx="40">
                  <c:v>1562230</c:v>
                </c:pt>
                <c:pt idx="41">
                  <c:v>1571791</c:v>
                </c:pt>
                <c:pt idx="42">
                  <c:v>1580920</c:v>
                </c:pt>
                <c:pt idx="43">
                  <c:v>1589609</c:v>
                </c:pt>
                <c:pt idx="44">
                  <c:v>1597850</c:v>
                </c:pt>
                <c:pt idx="45">
                  <c:v>1605636</c:v>
                </c:pt>
                <c:pt idx="46">
                  <c:v>1612959</c:v>
                </c:pt>
                <c:pt idx="47">
                  <c:v>1619812</c:v>
                </c:pt>
                <c:pt idx="48">
                  <c:v>1626190</c:v>
                </c:pt>
                <c:pt idx="49">
                  <c:v>1632087</c:v>
                </c:pt>
                <c:pt idx="50">
                  <c:v>1637496</c:v>
                </c:pt>
                <c:pt idx="51">
                  <c:v>1642413</c:v>
                </c:pt>
                <c:pt idx="52">
                  <c:v>1646832</c:v>
                </c:pt>
                <c:pt idx="53">
                  <c:v>1650751</c:v>
                </c:pt>
                <c:pt idx="54">
                  <c:v>1654164</c:v>
                </c:pt>
                <c:pt idx="55">
                  <c:v>1657070</c:v>
                </c:pt>
                <c:pt idx="56">
                  <c:v>1659464</c:v>
                </c:pt>
                <c:pt idx="57">
                  <c:v>1661345</c:v>
                </c:pt>
                <c:pt idx="58">
                  <c:v>1662710</c:v>
                </c:pt>
                <c:pt idx="59">
                  <c:v>1663559</c:v>
                </c:pt>
              </c:numCache>
            </c:numRef>
          </c:val>
        </c:ser>
        <c:axId val="50030001"/>
        <c:axId val="50030002"/>
      </c:area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TRx</a:t>
                </a:r>
              </a:p>
            </c:rich>
          </c:tx>
          <c:layout/>
        </c:title>
        <c:numFmt formatCode="#,##0" sourceLinked="0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Marktanteils-Wettlauf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Ozempic / Wegovy</c:v>
          </c:tx>
          <c:spPr>
            <a:ln w="31750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'Novo Forecast'!$B$10:$B$69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'Novo Forecast'!$E$10:$E$69</c:f>
              <c:numCache>
                <c:formatCode>General</c:formatCode>
                <c:ptCount val="60"/>
                <c:pt idx="0">
                  <c:v>0.3528</c:v>
                </c:pt>
                <c:pt idx="1">
                  <c:v>0.3517</c:v>
                </c:pt>
                <c:pt idx="2">
                  <c:v>0.3505</c:v>
                </c:pt>
                <c:pt idx="3">
                  <c:v>0.3491</c:v>
                </c:pt>
                <c:pt idx="4">
                  <c:v>0.3475</c:v>
                </c:pt>
                <c:pt idx="5">
                  <c:v>0.3458</c:v>
                </c:pt>
                <c:pt idx="6">
                  <c:v>0.3439</c:v>
                </c:pt>
                <c:pt idx="7">
                  <c:v>0.3418</c:v>
                </c:pt>
                <c:pt idx="8">
                  <c:v>0.3396</c:v>
                </c:pt>
                <c:pt idx="9">
                  <c:v>0.3373</c:v>
                </c:pt>
                <c:pt idx="10">
                  <c:v>0.335</c:v>
                </c:pt>
                <c:pt idx="11">
                  <c:v>0.3325</c:v>
                </c:pt>
                <c:pt idx="12">
                  <c:v>0.33</c:v>
                </c:pt>
                <c:pt idx="13">
                  <c:v>0.3275</c:v>
                </c:pt>
                <c:pt idx="14">
                  <c:v>0.325</c:v>
                </c:pt>
                <c:pt idx="15">
                  <c:v>0.3227</c:v>
                </c:pt>
                <c:pt idx="16">
                  <c:v>0.3204</c:v>
                </c:pt>
                <c:pt idx="17">
                  <c:v>0.3182</c:v>
                </c:pt>
                <c:pt idx="18">
                  <c:v>0.3161</c:v>
                </c:pt>
                <c:pt idx="19">
                  <c:v>0.3142</c:v>
                </c:pt>
                <c:pt idx="20">
                  <c:v>0.3125</c:v>
                </c:pt>
                <c:pt idx="21">
                  <c:v>0.3109</c:v>
                </c:pt>
                <c:pt idx="22">
                  <c:v>0.3095</c:v>
                </c:pt>
                <c:pt idx="23">
                  <c:v>0.3083</c:v>
                </c:pt>
                <c:pt idx="24">
                  <c:v>0.3072</c:v>
                </c:pt>
                <c:pt idx="25">
                  <c:v>0.3062</c:v>
                </c:pt>
                <c:pt idx="26">
                  <c:v>0.3053</c:v>
                </c:pt>
                <c:pt idx="27">
                  <c:v>0.3046</c:v>
                </c:pt>
                <c:pt idx="28">
                  <c:v>0.3039</c:v>
                </c:pt>
                <c:pt idx="29">
                  <c:v>0.3033</c:v>
                </c:pt>
                <c:pt idx="30">
                  <c:v>0.3028</c:v>
                </c:pt>
                <c:pt idx="31">
                  <c:v>0.3024</c:v>
                </c:pt>
                <c:pt idx="32">
                  <c:v>0.3021</c:v>
                </c:pt>
                <c:pt idx="33">
                  <c:v>0.3018</c:v>
                </c:pt>
                <c:pt idx="34">
                  <c:v>0.3015</c:v>
                </c:pt>
                <c:pt idx="35">
                  <c:v>0.3013</c:v>
                </c:pt>
                <c:pt idx="36">
                  <c:v>0.3011</c:v>
                </c:pt>
                <c:pt idx="37">
                  <c:v>0.3009</c:v>
                </c:pt>
                <c:pt idx="38">
                  <c:v>0.3008</c:v>
                </c:pt>
                <c:pt idx="39">
                  <c:v>0.3007</c:v>
                </c:pt>
                <c:pt idx="40">
                  <c:v>0.3006</c:v>
                </c:pt>
                <c:pt idx="41">
                  <c:v>0.3005</c:v>
                </c:pt>
                <c:pt idx="42">
                  <c:v>0.3004</c:v>
                </c:pt>
                <c:pt idx="43">
                  <c:v>0.3003</c:v>
                </c:pt>
                <c:pt idx="44">
                  <c:v>0.3003</c:v>
                </c:pt>
                <c:pt idx="45">
                  <c:v>0.3002</c:v>
                </c:pt>
                <c:pt idx="46">
                  <c:v>0.3002</c:v>
                </c:pt>
                <c:pt idx="47">
                  <c:v>0.3002</c:v>
                </c:pt>
                <c:pt idx="48">
                  <c:v>0.3001</c:v>
                </c:pt>
                <c:pt idx="49">
                  <c:v>0.3001</c:v>
                </c:pt>
                <c:pt idx="50">
                  <c:v>0.3001</c:v>
                </c:pt>
                <c:pt idx="51">
                  <c:v>0.3001</c:v>
                </c:pt>
                <c:pt idx="52">
                  <c:v>0.3001</c:v>
                </c:pt>
                <c:pt idx="53">
                  <c:v>0.3001</c:v>
                </c:pt>
                <c:pt idx="54">
                  <c:v>0.3001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</c:numCache>
            </c:numRef>
          </c:val>
        </c:ser>
        <c:ser>
          <c:idx val="1"/>
          <c:order val="1"/>
          <c:tx>
            <c:v>Mounjaro</c:v>
          </c:tx>
          <c:spPr>
            <a:ln w="31750">
              <a:solidFill>
                <a:srgbClr val="F59E0B"/>
              </a:solidFill>
              <a:prstDash val="dash"/>
            </a:ln>
          </c:spPr>
          <c:marker>
            <c:symbol val="none"/>
          </c:marker>
          <c:cat>
            <c:strRef>
              <c:f>'Novo Forecast'!$B$10:$B$69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'Novo Forecast'!$M$10:$M$69</c:f>
              <c:numCache>
                <c:formatCode>General</c:formatCode>
                <c:ptCount val="60"/>
                <c:pt idx="0">
                  <c:v>0.1003</c:v>
                </c:pt>
                <c:pt idx="1">
                  <c:v>0.1023</c:v>
                </c:pt>
                <c:pt idx="2">
                  <c:v>0.1046</c:v>
                </c:pt>
                <c:pt idx="3">
                  <c:v>0.107</c:v>
                </c:pt>
                <c:pt idx="4">
                  <c:v>0.1096</c:v>
                </c:pt>
                <c:pt idx="5">
                  <c:v>0.1124</c:v>
                </c:pt>
                <c:pt idx="6">
                  <c:v>0.1155</c:v>
                </c:pt>
                <c:pt idx="7">
                  <c:v>0.1187</c:v>
                </c:pt>
                <c:pt idx="8">
                  <c:v>0.1221</c:v>
                </c:pt>
                <c:pt idx="9">
                  <c:v>0.1257</c:v>
                </c:pt>
                <c:pt idx="10">
                  <c:v>0.1295</c:v>
                </c:pt>
                <c:pt idx="11">
                  <c:v>0.1335</c:v>
                </c:pt>
                <c:pt idx="12">
                  <c:v>0.1377</c:v>
                </c:pt>
                <c:pt idx="13">
                  <c:v>0.142</c:v>
                </c:pt>
                <c:pt idx="14">
                  <c:v>0.1464</c:v>
                </c:pt>
                <c:pt idx="15">
                  <c:v>0.151</c:v>
                </c:pt>
                <c:pt idx="16">
                  <c:v>0.1556</c:v>
                </c:pt>
                <c:pt idx="17">
                  <c:v>0.1603</c:v>
                </c:pt>
                <c:pt idx="18">
                  <c:v>0.165</c:v>
                </c:pt>
                <c:pt idx="19">
                  <c:v>0.1697</c:v>
                </c:pt>
                <c:pt idx="20">
                  <c:v>0.1744</c:v>
                </c:pt>
                <c:pt idx="21">
                  <c:v>0.179</c:v>
                </c:pt>
                <c:pt idx="22">
                  <c:v>0.1836</c:v>
                </c:pt>
                <c:pt idx="23">
                  <c:v>0.188</c:v>
                </c:pt>
                <c:pt idx="24">
                  <c:v>0.1923</c:v>
                </c:pt>
                <c:pt idx="25">
                  <c:v>0.1965</c:v>
                </c:pt>
                <c:pt idx="26">
                  <c:v>0.2005</c:v>
                </c:pt>
                <c:pt idx="27">
                  <c:v>0.2043</c:v>
                </c:pt>
                <c:pt idx="28">
                  <c:v>0.2079</c:v>
                </c:pt>
                <c:pt idx="29">
                  <c:v>0.2113</c:v>
                </c:pt>
                <c:pt idx="30">
                  <c:v>0.2145</c:v>
                </c:pt>
                <c:pt idx="31">
                  <c:v>0.2176</c:v>
                </c:pt>
                <c:pt idx="32">
                  <c:v>0.2204</c:v>
                </c:pt>
                <c:pt idx="33">
                  <c:v>0.223</c:v>
                </c:pt>
                <c:pt idx="34">
                  <c:v>0.2254</c:v>
                </c:pt>
                <c:pt idx="35">
                  <c:v>0.2277</c:v>
                </c:pt>
                <c:pt idx="36">
                  <c:v>0.2297</c:v>
                </c:pt>
                <c:pt idx="37">
                  <c:v>0.2316</c:v>
                </c:pt>
                <c:pt idx="38">
                  <c:v>0.2334</c:v>
                </c:pt>
                <c:pt idx="39">
                  <c:v>0.235</c:v>
                </c:pt>
                <c:pt idx="40">
                  <c:v>0.2364</c:v>
                </c:pt>
                <c:pt idx="41">
                  <c:v>0.2378</c:v>
                </c:pt>
                <c:pt idx="42">
                  <c:v>0.239</c:v>
                </c:pt>
                <c:pt idx="43">
                  <c:v>0.24</c:v>
                </c:pt>
                <c:pt idx="44">
                  <c:v>0.241</c:v>
                </c:pt>
                <c:pt idx="45">
                  <c:v>0.2419</c:v>
                </c:pt>
                <c:pt idx="46">
                  <c:v>0.2427</c:v>
                </c:pt>
                <c:pt idx="47">
                  <c:v>0.2435</c:v>
                </c:pt>
                <c:pt idx="48">
                  <c:v>0.2441</c:v>
                </c:pt>
                <c:pt idx="49">
                  <c:v>0.2447</c:v>
                </c:pt>
                <c:pt idx="50">
                  <c:v>0.2453</c:v>
                </c:pt>
                <c:pt idx="51">
                  <c:v>0.2458</c:v>
                </c:pt>
                <c:pt idx="52">
                  <c:v>0.2462</c:v>
                </c:pt>
                <c:pt idx="53">
                  <c:v>0.2466</c:v>
                </c:pt>
                <c:pt idx="54">
                  <c:v>0.2469</c:v>
                </c:pt>
                <c:pt idx="55">
                  <c:v>0.2473</c:v>
                </c:pt>
                <c:pt idx="56">
                  <c:v>0.2475</c:v>
                </c:pt>
                <c:pt idx="57">
                  <c:v>0.2478</c:v>
                </c:pt>
                <c:pt idx="58">
                  <c:v>0.248</c:v>
                </c:pt>
                <c:pt idx="59">
                  <c:v>0.2482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Marktanteil</a:t>
                </a:r>
              </a:p>
            </c:rich>
          </c:tx>
          <c:layout/>
        </c:title>
        <c:numFmt formatCode="0%" sourceLinked="0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Umsatz-Aufbau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Monatl. Umsatz</c:v>
          </c:tx>
          <c:spPr>
            <a:solidFill>
              <a:srgbClr val="2563EB"/>
            </a:solidFill>
            <a:ln>
              <a:solidFill>
                <a:srgbClr val="1E40AF"/>
              </a:solidFill>
            </a:ln>
          </c:spPr>
          <c:cat>
            <c:strRef>
              <c:f>'Novo Forecast'!$B$10:$B$69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'Novo Forecast'!$J$10:$J$69</c:f>
              <c:numCache>
                <c:formatCode>General</c:formatCode>
                <c:ptCount val="60"/>
                <c:pt idx="0">
                  <c:v>90000000</c:v>
                </c:pt>
                <c:pt idx="1">
                  <c:v>89771845.62</c:v>
                </c:pt>
                <c:pt idx="2">
                  <c:v>89544269.63</c:v>
                </c:pt>
                <c:pt idx="3">
                  <c:v>89317270.56</c:v>
                </c:pt>
                <c:pt idx="4">
                  <c:v>89090846.93000001</c:v>
                </c:pt>
                <c:pt idx="5">
                  <c:v>88864997.3</c:v>
                </c:pt>
                <c:pt idx="6">
                  <c:v>88639720.22</c:v>
                </c:pt>
                <c:pt idx="7">
                  <c:v>88415014.22</c:v>
                </c:pt>
                <c:pt idx="8">
                  <c:v>88190877.86</c:v>
                </c:pt>
                <c:pt idx="9">
                  <c:v>87967309.69</c:v>
                </c:pt>
                <c:pt idx="10">
                  <c:v>87744308.29000001</c:v>
                </c:pt>
                <c:pt idx="11">
                  <c:v>87521872.2</c:v>
                </c:pt>
                <c:pt idx="12">
                  <c:v>114514029</c:v>
                </c:pt>
                <c:pt idx="13">
                  <c:v>115293927.47</c:v>
                </c:pt>
                <c:pt idx="14">
                  <c:v>116048579.48</c:v>
                </c:pt>
                <c:pt idx="15">
                  <c:v>116788845.46</c:v>
                </c:pt>
                <c:pt idx="16">
                  <c:v>117526052.73</c:v>
                </c:pt>
                <c:pt idx="17">
                  <c:v>118268828.3</c:v>
                </c:pt>
                <c:pt idx="18">
                  <c:v>119025998.37</c:v>
                </c:pt>
                <c:pt idx="19">
                  <c:v>119802582.98</c:v>
                </c:pt>
                <c:pt idx="20">
                  <c:v>120603265.52</c:v>
                </c:pt>
                <c:pt idx="21">
                  <c:v>121430405.65</c:v>
                </c:pt>
                <c:pt idx="22">
                  <c:v>122284068.47</c:v>
                </c:pt>
                <c:pt idx="23">
                  <c:v>123162902.43</c:v>
                </c:pt>
                <c:pt idx="24">
                  <c:v>124065004.02</c:v>
                </c:pt>
                <c:pt idx="25">
                  <c:v>124987643.38</c:v>
                </c:pt>
                <c:pt idx="26">
                  <c:v>125926432.29</c:v>
                </c:pt>
                <c:pt idx="27">
                  <c:v>126877866.6</c:v>
                </c:pt>
                <c:pt idx="28">
                  <c:v>127837079.87</c:v>
                </c:pt>
                <c:pt idx="29">
                  <c:v>128800090.61</c:v>
                </c:pt>
                <c:pt idx="30">
                  <c:v>129762679.32</c:v>
                </c:pt>
                <c:pt idx="31">
                  <c:v>130720669.07</c:v>
                </c:pt>
                <c:pt idx="32">
                  <c:v>131670201.85</c:v>
                </c:pt>
                <c:pt idx="33">
                  <c:v>132607458.86</c:v>
                </c:pt>
                <c:pt idx="34">
                  <c:v>133528935.47</c:v>
                </c:pt>
                <c:pt idx="35">
                  <c:v>134431986.52</c:v>
                </c:pt>
                <c:pt idx="36">
                  <c:v>135313446.58</c:v>
                </c:pt>
                <c:pt idx="37">
                  <c:v>135891066.81</c:v>
                </c:pt>
                <c:pt idx="38">
                  <c:v>136440099.05</c:v>
                </c:pt>
                <c:pt idx="39">
                  <c:v>136958030.13</c:v>
                </c:pt>
                <c:pt idx="40">
                  <c:v>137443728.6</c:v>
                </c:pt>
                <c:pt idx="41">
                  <c:v>137895264.6</c:v>
                </c:pt>
                <c:pt idx="42">
                  <c:v>138310998.69</c:v>
                </c:pt>
                <c:pt idx="43">
                  <c:v>138690385.27</c:v>
                </c:pt>
                <c:pt idx="44">
                  <c:v>139032080.72</c:v>
                </c:pt>
                <c:pt idx="45">
                  <c:v>139334756.4</c:v>
                </c:pt>
                <c:pt idx="46">
                  <c:v>139598166.35</c:v>
                </c:pt>
                <c:pt idx="47">
                  <c:v>139821269.77</c:v>
                </c:pt>
                <c:pt idx="48">
                  <c:v>140003303.5</c:v>
                </c:pt>
                <c:pt idx="49">
                  <c:v>140144308.38</c:v>
                </c:pt>
                <c:pt idx="50">
                  <c:v>140243005.21</c:v>
                </c:pt>
                <c:pt idx="51">
                  <c:v>140299974.32</c:v>
                </c:pt>
                <c:pt idx="52">
                  <c:v>140314740.14</c:v>
                </c:pt>
                <c:pt idx="53">
                  <c:v>140286309.07</c:v>
                </c:pt>
                <c:pt idx="54">
                  <c:v>140215530.21</c:v>
                </c:pt>
                <c:pt idx="55">
                  <c:v>140101680.23</c:v>
                </c:pt>
                <c:pt idx="56">
                  <c:v>139945346.02</c:v>
                </c:pt>
                <c:pt idx="57">
                  <c:v>139745812.24</c:v>
                </c:pt>
                <c:pt idx="58">
                  <c:v>139503667.09</c:v>
                </c:pt>
                <c:pt idx="59">
                  <c:v>139219236.19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Kum. Umsatz</c:v>
          </c:tx>
          <c:spPr>
            <a:ln w="31750">
              <a:solidFill>
                <a:srgbClr val="166534"/>
              </a:solidFill>
            </a:ln>
          </c:spPr>
          <c:marker>
            <c:symbol val="none"/>
          </c:marker>
          <c:cat>
            <c:strRef>
              <c:f>'Novo Forecast'!$B$10:$B$69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'Novo Forecast'!$P$10:$P$69</c:f>
              <c:numCache>
                <c:formatCode>General</c:formatCode>
                <c:ptCount val="60"/>
                <c:pt idx="0">
                  <c:v>90000000</c:v>
                </c:pt>
                <c:pt idx="1">
                  <c:v>179771845.62</c:v>
                </c:pt>
                <c:pt idx="2">
                  <c:v>269316115.26</c:v>
                </c:pt>
                <c:pt idx="3">
                  <c:v>358633385.81</c:v>
                </c:pt>
                <c:pt idx="4">
                  <c:v>447724232.74</c:v>
                </c:pt>
                <c:pt idx="5">
                  <c:v>536589230.05</c:v>
                </c:pt>
                <c:pt idx="6">
                  <c:v>625228950.27</c:v>
                </c:pt>
                <c:pt idx="7">
                  <c:v>713643964.48</c:v>
                </c:pt>
                <c:pt idx="8">
                  <c:v>801834842.34</c:v>
                </c:pt>
                <c:pt idx="9">
                  <c:v>889802152.03</c:v>
                </c:pt>
                <c:pt idx="10">
                  <c:v>977546460.3200001</c:v>
                </c:pt>
                <c:pt idx="11">
                  <c:v>1065068332.52</c:v>
                </c:pt>
                <c:pt idx="12">
                  <c:v>1179582361.52</c:v>
                </c:pt>
                <c:pt idx="13">
                  <c:v>1294876288.99</c:v>
                </c:pt>
                <c:pt idx="14">
                  <c:v>1410924868.48</c:v>
                </c:pt>
                <c:pt idx="15">
                  <c:v>1527713713.94</c:v>
                </c:pt>
                <c:pt idx="16">
                  <c:v>1645239766.67</c:v>
                </c:pt>
                <c:pt idx="17">
                  <c:v>1763508594.97</c:v>
                </c:pt>
                <c:pt idx="18">
                  <c:v>1882534593.34</c:v>
                </c:pt>
                <c:pt idx="19">
                  <c:v>2002337176.33</c:v>
                </c:pt>
                <c:pt idx="20">
                  <c:v>2122940441.84</c:v>
                </c:pt>
                <c:pt idx="21">
                  <c:v>2244370847.49</c:v>
                </c:pt>
                <c:pt idx="22">
                  <c:v>2366654915.96</c:v>
                </c:pt>
                <c:pt idx="23">
                  <c:v>2489817818.39</c:v>
                </c:pt>
                <c:pt idx="24">
                  <c:v>2613882822.41</c:v>
                </c:pt>
                <c:pt idx="25">
                  <c:v>2738870465.78</c:v>
                </c:pt>
                <c:pt idx="26">
                  <c:v>2864796898.08</c:v>
                </c:pt>
                <c:pt idx="27">
                  <c:v>2991674764.68</c:v>
                </c:pt>
                <c:pt idx="28">
                  <c:v>3119511844.55</c:v>
                </c:pt>
                <c:pt idx="29">
                  <c:v>3248311935.15</c:v>
                </c:pt>
                <c:pt idx="30">
                  <c:v>3378074614.47</c:v>
                </c:pt>
                <c:pt idx="31">
                  <c:v>3508795283.54</c:v>
                </c:pt>
                <c:pt idx="32">
                  <c:v>3640465485.39</c:v>
                </c:pt>
                <c:pt idx="33">
                  <c:v>3773072944.25</c:v>
                </c:pt>
                <c:pt idx="34">
                  <c:v>3906601879.72</c:v>
                </c:pt>
                <c:pt idx="35">
                  <c:v>4041033866.24</c:v>
                </c:pt>
                <c:pt idx="36">
                  <c:v>4176347312.83</c:v>
                </c:pt>
                <c:pt idx="37">
                  <c:v>4312238379.64</c:v>
                </c:pt>
                <c:pt idx="38">
                  <c:v>4448678478.68</c:v>
                </c:pt>
                <c:pt idx="39">
                  <c:v>4585636508.81</c:v>
                </c:pt>
                <c:pt idx="40">
                  <c:v>4723080237.41</c:v>
                </c:pt>
                <c:pt idx="41">
                  <c:v>4860975502.01</c:v>
                </c:pt>
                <c:pt idx="42">
                  <c:v>4999286500.7</c:v>
                </c:pt>
                <c:pt idx="43">
                  <c:v>5137976885.97</c:v>
                </c:pt>
                <c:pt idx="44">
                  <c:v>5277008966.68</c:v>
                </c:pt>
                <c:pt idx="45">
                  <c:v>5416343723.09</c:v>
                </c:pt>
                <c:pt idx="46">
                  <c:v>5555941889.44</c:v>
                </c:pt>
                <c:pt idx="47">
                  <c:v>5695763159.21</c:v>
                </c:pt>
                <c:pt idx="48">
                  <c:v>5835766462.71</c:v>
                </c:pt>
                <c:pt idx="49">
                  <c:v>5975910771.09</c:v>
                </c:pt>
                <c:pt idx="50">
                  <c:v>6116153776.3</c:v>
                </c:pt>
                <c:pt idx="51">
                  <c:v>6256453750.62</c:v>
                </c:pt>
                <c:pt idx="52">
                  <c:v>6396768490.76</c:v>
                </c:pt>
                <c:pt idx="53">
                  <c:v>6537054799.83</c:v>
                </c:pt>
                <c:pt idx="54">
                  <c:v>6677270330.04</c:v>
                </c:pt>
                <c:pt idx="55">
                  <c:v>6817372010.27</c:v>
                </c:pt>
                <c:pt idx="56">
                  <c:v>6957317356.29</c:v>
                </c:pt>
                <c:pt idx="57">
                  <c:v>7097063168.53</c:v>
                </c:pt>
                <c:pt idx="58">
                  <c:v>7236566835.61</c:v>
                </c:pt>
                <c:pt idx="59">
                  <c:v>7375786071.81</c:v>
                </c:pt>
              </c:numCache>
            </c:numRef>
          </c:val>
        </c:ser>
        <c:marker val="1"/>
        <c:axId val="60050001"/>
        <c:axId val="6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Monatl. Umsatz (EUR)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  <c:valAx>
        <c:axId val="60050002"/>
        <c:scaling>
          <c:orientation val="minMax"/>
        </c:scaling>
        <c:axPos val="r"/>
        <c:numFmt formatCode="General" sourceLinked="1"/>
        <c:tickLblPos val="nextTo"/>
        <c:crossAx val="60050001"/>
        <c:crosses val="max"/>
        <c:crossBetween val="between"/>
      </c:valAx>
      <c:catAx>
        <c:axId val="60050001"/>
        <c:scaling>
          <c:orientation val="minMax"/>
        </c:scaling>
        <c:delete val="1"/>
        <c:axPos val="b"/>
        <c:tickLblPos val="none"/>
        <c:crossAx val="6005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GLP-1 Marktexpansion (TRx / Monat)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Gesamtmarkt GLP-1</c:v>
          </c:tx>
          <c:spPr>
            <a:solidFill>
              <a:srgbClr val="C7D2FE"/>
            </a:solidFill>
            <a:ln w="25400">
              <a:solidFill>
                <a:srgbClr val="6366F1"/>
              </a:solidFill>
            </a:ln>
          </c:spPr>
          <c:cat>
            <c:strRef>
              <c:f>'Novo Forecast'!$B$10:$B$69</c:f>
              <c:strCache>
                <c:ptCount val="6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</c:strCache>
            </c:strRef>
          </c:cat>
          <c:val>
            <c:numRef>
              <c:f>'Novo Forecast'!$D$10:$D$69</c:f>
              <c:numCache>
                <c:formatCode>General</c:formatCode>
                <c:ptCount val="60"/>
                <c:pt idx="0">
                  <c:v>950000</c:v>
                </c:pt>
                <c:pt idx="1">
                  <c:v>967682</c:v>
                </c:pt>
                <c:pt idx="2">
                  <c:v>985390</c:v>
                </c:pt>
                <c:pt idx="3">
                  <c:v>1003115</c:v>
                </c:pt>
                <c:pt idx="4">
                  <c:v>1020844</c:v>
                </c:pt>
                <c:pt idx="5">
                  <c:v>1038568</c:v>
                </c:pt>
                <c:pt idx="6">
                  <c:v>1056275</c:v>
                </c:pt>
                <c:pt idx="7">
                  <c:v>1073953</c:v>
                </c:pt>
                <c:pt idx="8">
                  <c:v>1091592</c:v>
                </c:pt>
                <c:pt idx="9">
                  <c:v>1109178</c:v>
                </c:pt>
                <c:pt idx="10">
                  <c:v>1126702</c:v>
                </c:pt>
                <c:pt idx="11">
                  <c:v>1144150</c:v>
                </c:pt>
                <c:pt idx="12">
                  <c:v>1161510</c:v>
                </c:pt>
                <c:pt idx="13">
                  <c:v>1178772</c:v>
                </c:pt>
                <c:pt idx="14">
                  <c:v>1195921</c:v>
                </c:pt>
                <c:pt idx="15">
                  <c:v>1212946</c:v>
                </c:pt>
                <c:pt idx="16">
                  <c:v>1229834</c:v>
                </c:pt>
                <c:pt idx="17">
                  <c:v>1246573</c:v>
                </c:pt>
                <c:pt idx="18">
                  <c:v>1263151</c:v>
                </c:pt>
                <c:pt idx="19">
                  <c:v>1279555</c:v>
                </c:pt>
                <c:pt idx="20">
                  <c:v>1295771</c:v>
                </c:pt>
                <c:pt idx="21">
                  <c:v>1311789</c:v>
                </c:pt>
                <c:pt idx="22">
                  <c:v>1327595</c:v>
                </c:pt>
                <c:pt idx="23">
                  <c:v>1343177</c:v>
                </c:pt>
                <c:pt idx="24">
                  <c:v>1358522</c:v>
                </c:pt>
                <c:pt idx="25">
                  <c:v>1373619</c:v>
                </c:pt>
                <c:pt idx="26">
                  <c:v>1388454</c:v>
                </c:pt>
                <c:pt idx="27">
                  <c:v>1403016</c:v>
                </c:pt>
                <c:pt idx="28">
                  <c:v>1417293</c:v>
                </c:pt>
                <c:pt idx="29">
                  <c:v>1431272</c:v>
                </c:pt>
                <c:pt idx="30">
                  <c:v>1444943</c:v>
                </c:pt>
                <c:pt idx="31">
                  <c:v>1458294</c:v>
                </c:pt>
                <c:pt idx="32">
                  <c:v>1471312</c:v>
                </c:pt>
                <c:pt idx="33">
                  <c:v>1483988</c:v>
                </c:pt>
                <c:pt idx="34">
                  <c:v>1496310</c:v>
                </c:pt>
                <c:pt idx="35">
                  <c:v>1508268</c:v>
                </c:pt>
                <c:pt idx="36">
                  <c:v>1519850</c:v>
                </c:pt>
                <c:pt idx="37">
                  <c:v>1531047</c:v>
                </c:pt>
                <c:pt idx="38">
                  <c:v>1541849</c:v>
                </c:pt>
                <c:pt idx="39">
                  <c:v>1552247</c:v>
                </c:pt>
                <c:pt idx="40">
                  <c:v>1562230</c:v>
                </c:pt>
                <c:pt idx="41">
                  <c:v>1571791</c:v>
                </c:pt>
                <c:pt idx="42">
                  <c:v>1580920</c:v>
                </c:pt>
                <c:pt idx="43">
                  <c:v>1589609</c:v>
                </c:pt>
                <c:pt idx="44">
                  <c:v>1597850</c:v>
                </c:pt>
                <c:pt idx="45">
                  <c:v>1605636</c:v>
                </c:pt>
                <c:pt idx="46">
                  <c:v>1612959</c:v>
                </c:pt>
                <c:pt idx="47">
                  <c:v>1619812</c:v>
                </c:pt>
                <c:pt idx="48">
                  <c:v>1626190</c:v>
                </c:pt>
                <c:pt idx="49">
                  <c:v>1632087</c:v>
                </c:pt>
                <c:pt idx="50">
                  <c:v>1637496</c:v>
                </c:pt>
                <c:pt idx="51">
                  <c:v>1642413</c:v>
                </c:pt>
                <c:pt idx="52">
                  <c:v>1646832</c:v>
                </c:pt>
                <c:pt idx="53">
                  <c:v>1650751</c:v>
                </c:pt>
                <c:pt idx="54">
                  <c:v>1654164</c:v>
                </c:pt>
                <c:pt idx="55">
                  <c:v>1657070</c:v>
                </c:pt>
                <c:pt idx="56">
                  <c:v>1659464</c:v>
                </c:pt>
                <c:pt idx="57">
                  <c:v>1661345</c:v>
                </c:pt>
                <c:pt idx="58">
                  <c:v>1662710</c:v>
                </c:pt>
                <c:pt idx="59">
                  <c:v>1663559</c:v>
                </c:pt>
              </c:numCache>
            </c:numRef>
          </c:val>
        </c:ser>
        <c:axId val="50060001"/>
        <c:axId val="50060002"/>
      </c:area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TRx</a:t>
                </a:r>
              </a:p>
            </c:rich>
          </c:tx>
          <c:layout/>
        </c:title>
        <c:numFmt formatCode="#,##0" sourceLinked="0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8</xdr:col>
      <xdr:colOff>485775</xdr:colOff>
      <xdr:row>89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70</xdr:row>
      <xdr:rowOff>0</xdr:rowOff>
    </xdr:from>
    <xdr:to>
      <xdr:col>16</xdr:col>
      <xdr:colOff>285750</xdr:colOff>
      <xdr:row>89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90</xdr:row>
      <xdr:rowOff>0</xdr:rowOff>
    </xdr:from>
    <xdr:to>
      <xdr:col>8</xdr:col>
      <xdr:colOff>485775</xdr:colOff>
      <xdr:row>109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8</xdr:col>
      <xdr:colOff>485775</xdr:colOff>
      <xdr:row>89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70</xdr:row>
      <xdr:rowOff>0</xdr:rowOff>
    </xdr:from>
    <xdr:to>
      <xdr:col>16</xdr:col>
      <xdr:colOff>285750</xdr:colOff>
      <xdr:row>89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90</xdr:row>
      <xdr:rowOff>0</xdr:rowOff>
    </xdr:from>
    <xdr:to>
      <xdr:col>8</xdr:col>
      <xdr:colOff>485775</xdr:colOff>
      <xdr:row>109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0B800"/>
  </sheetPr>
  <dimension ref="B2:E67"/>
  <sheetViews>
    <sheetView showGridLines="0" tabSelected="1" workbookViewId="0"/>
  </sheetViews>
  <sheetFormatPr defaultRowHeight="15"/>
  <cols>
    <col min="1" max="1" width="3.7109375" customWidth="1"/>
    <col min="2" max="2" width="44.7109375" customWidth="1"/>
    <col min="3" max="3" width="18.7109375" customWidth="1"/>
    <col min="4" max="4" width="55.7109375" customWidth="1"/>
  </cols>
  <sheetData>
    <row r="2" spans="2:4">
      <c r="B2" s="1" t="s">
        <v>0</v>
      </c>
      <c r="C2" s="1"/>
      <c r="D2" s="1"/>
    </row>
    <row r="3" spans="2:4">
      <c r="B3" s="2" t="s">
        <v>1</v>
      </c>
      <c r="C3" s="2"/>
      <c r="D3" s="2"/>
    </row>
    <row r="5" spans="2:4">
      <c r="B5" s="3" t="s">
        <v>2</v>
      </c>
      <c r="C5" s="3"/>
      <c r="D5" s="3"/>
    </row>
    <row r="6" spans="2:4">
      <c r="B6" s="4" t="s">
        <v>3</v>
      </c>
      <c r="C6" s="5" t="s">
        <v>4</v>
      </c>
      <c r="D6" s="6" t="s">
        <v>5</v>
      </c>
    </row>
    <row r="7" spans="2:4">
      <c r="B7" s="4" t="s">
        <v>6</v>
      </c>
      <c r="C7" s="5" t="s">
        <v>7</v>
      </c>
      <c r="D7" s="6" t="s">
        <v>8</v>
      </c>
    </row>
    <row r="8" spans="2:4">
      <c r="B8" s="4" t="s">
        <v>9</v>
      </c>
      <c r="C8" s="7">
        <v>6330000</v>
      </c>
      <c r="D8" s="6" t="s">
        <v>10</v>
      </c>
    </row>
    <row r="9" spans="2:4">
      <c r="B9" s="4" t="s">
        <v>11</v>
      </c>
      <c r="C9" s="8">
        <v>0.139</v>
      </c>
      <c r="D9" s="6" t="s">
        <v>12</v>
      </c>
    </row>
    <row r="10" spans="2:4">
      <c r="B10" s="4" t="s">
        <v>13</v>
      </c>
      <c r="C10" s="8">
        <v>0.22</v>
      </c>
      <c r="D10" s="6" t="s">
        <v>14</v>
      </c>
    </row>
    <row r="11" spans="2:4">
      <c r="B11" s="4" t="s">
        <v>15</v>
      </c>
      <c r="C11" s="7">
        <v>8000000</v>
      </c>
      <c r="D11" s="6" t="s">
        <v>16</v>
      </c>
    </row>
    <row r="12" spans="2:4">
      <c r="B12" s="4" t="s">
        <v>17</v>
      </c>
      <c r="C12" s="7">
        <v>950000</v>
      </c>
      <c r="D12" s="6" t="s">
        <v>18</v>
      </c>
    </row>
    <row r="13" spans="2:4">
      <c r="B13" s="4" t="s">
        <v>19</v>
      </c>
      <c r="C13" s="8">
        <v>0.25</v>
      </c>
      <c r="D13" s="6" t="s">
        <v>20</v>
      </c>
    </row>
    <row r="14" spans="2:4">
      <c r="B14" s="4" t="s">
        <v>21</v>
      </c>
      <c r="C14" s="7">
        <v>5</v>
      </c>
      <c r="D14" s="6" t="s">
        <v>22</v>
      </c>
    </row>
    <row r="16" spans="2:4">
      <c r="B16" s="3" t="s">
        <v>23</v>
      </c>
      <c r="C16" s="3"/>
      <c r="D16" s="3"/>
    </row>
    <row r="17" spans="2:4">
      <c r="B17" s="4" t="s">
        <v>24</v>
      </c>
      <c r="C17" s="5" t="s">
        <v>25</v>
      </c>
      <c r="D17" s="6" t="s">
        <v>26</v>
      </c>
    </row>
    <row r="18" spans="2:4">
      <c r="B18" s="4" t="s">
        <v>27</v>
      </c>
      <c r="C18" s="8">
        <v>0.08</v>
      </c>
      <c r="D18" s="6" t="s">
        <v>28</v>
      </c>
    </row>
    <row r="19" spans="2:4">
      <c r="B19" s="4" t="s">
        <v>29</v>
      </c>
      <c r="C19" s="9">
        <v>350</v>
      </c>
      <c r="D19" s="6" t="s">
        <v>30</v>
      </c>
    </row>
    <row r="20" spans="2:4">
      <c r="B20" s="4" t="s">
        <v>31</v>
      </c>
      <c r="C20" s="8">
        <v>0.25</v>
      </c>
      <c r="D20" s="6" t="s">
        <v>32</v>
      </c>
    </row>
    <row r="21" spans="2:4">
      <c r="B21" s="4" t="s">
        <v>33</v>
      </c>
      <c r="C21" s="8">
        <v>0.35</v>
      </c>
      <c r="D21" s="6" t="s">
        <v>34</v>
      </c>
    </row>
    <row r="22" spans="2:4">
      <c r="B22" s="4" t="s">
        <v>35</v>
      </c>
      <c r="C22" s="7">
        <v>36</v>
      </c>
      <c r="D22" s="6" t="s">
        <v>36</v>
      </c>
    </row>
    <row r="23" spans="2:4">
      <c r="B23" s="4" t="s">
        <v>37</v>
      </c>
      <c r="C23" s="9">
        <v>-2.4</v>
      </c>
      <c r="D23" s="6" t="s">
        <v>38</v>
      </c>
    </row>
    <row r="24" spans="2:4">
      <c r="B24" s="4" t="s">
        <v>39</v>
      </c>
      <c r="C24" s="8">
        <v>-0.225</v>
      </c>
      <c r="D24" s="6" t="s">
        <v>40</v>
      </c>
    </row>
    <row r="25" spans="2:4">
      <c r="B25" s="4" t="s">
        <v>41</v>
      </c>
      <c r="C25" s="10" t="s">
        <v>42</v>
      </c>
      <c r="D25" s="6" t="s">
        <v>43</v>
      </c>
    </row>
    <row r="26" spans="2:4">
      <c r="B26" s="4" t="s">
        <v>44</v>
      </c>
      <c r="C26" s="10" t="s">
        <v>42</v>
      </c>
      <c r="D26" s="6" t="s">
        <v>45</v>
      </c>
    </row>
    <row r="27" spans="2:4">
      <c r="B27" s="4" t="s">
        <v>46</v>
      </c>
      <c r="C27" s="10" t="s">
        <v>47</v>
      </c>
      <c r="D27" s="6" t="s">
        <v>48</v>
      </c>
    </row>
    <row r="28" spans="2:4">
      <c r="B28" s="4" t="s">
        <v>49</v>
      </c>
      <c r="C28" s="10" t="s">
        <v>47</v>
      </c>
      <c r="D28" s="6" t="s">
        <v>50</v>
      </c>
    </row>
    <row r="29" spans="2:4">
      <c r="B29" s="4" t="s">
        <v>51</v>
      </c>
      <c r="C29" s="5" t="s">
        <v>52</v>
      </c>
      <c r="D29" s="6" t="s">
        <v>53</v>
      </c>
    </row>
    <row r="30" spans="2:4">
      <c r="B30" s="4" t="s">
        <v>54</v>
      </c>
      <c r="C30" s="10" t="s">
        <v>47</v>
      </c>
      <c r="D30" s="6" t="s">
        <v>55</v>
      </c>
    </row>
    <row r="32" spans="2:4">
      <c r="B32" s="3" t="s">
        <v>56</v>
      </c>
      <c r="C32" s="3"/>
      <c r="D32" s="3"/>
    </row>
    <row r="33" spans="2:4">
      <c r="B33" s="4" t="s">
        <v>24</v>
      </c>
      <c r="C33" s="5" t="s">
        <v>57</v>
      </c>
      <c r="D33" s="6" t="s">
        <v>58</v>
      </c>
    </row>
    <row r="34" spans="2:4">
      <c r="B34" s="4" t="s">
        <v>27</v>
      </c>
      <c r="C34" s="8">
        <v>0.36</v>
      </c>
      <c r="D34" s="6" t="s">
        <v>59</v>
      </c>
    </row>
    <row r="35" spans="2:4">
      <c r="B35" s="4" t="s">
        <v>60</v>
      </c>
      <c r="C35" s="9">
        <v>300</v>
      </c>
      <c r="D35" s="6" t="s">
        <v>61</v>
      </c>
    </row>
    <row r="36" spans="2:4">
      <c r="B36" s="4" t="s">
        <v>31</v>
      </c>
      <c r="C36" s="8">
        <v>0.3</v>
      </c>
      <c r="D36" s="6" t="s">
        <v>62</v>
      </c>
    </row>
    <row r="37" spans="2:4">
      <c r="B37" s="4" t="s">
        <v>63</v>
      </c>
      <c r="C37" s="10" t="s">
        <v>42</v>
      </c>
      <c r="D37" s="6" t="s">
        <v>64</v>
      </c>
    </row>
    <row r="38" spans="2:4">
      <c r="B38" s="4" t="s">
        <v>65</v>
      </c>
      <c r="C38" s="10" t="s">
        <v>42</v>
      </c>
      <c r="D38" s="6" t="s">
        <v>66</v>
      </c>
    </row>
    <row r="39" spans="2:4">
      <c r="B39" s="4" t="s">
        <v>67</v>
      </c>
      <c r="C39" s="10" t="s">
        <v>47</v>
      </c>
      <c r="D39" s="6" t="s">
        <v>68</v>
      </c>
    </row>
    <row r="40" spans="2:4">
      <c r="B40" s="4" t="s">
        <v>69</v>
      </c>
      <c r="C40" s="10" t="s">
        <v>42</v>
      </c>
      <c r="D40" s="6" t="s">
        <v>70</v>
      </c>
    </row>
    <row r="41" spans="2:4">
      <c r="B41" s="4" t="s">
        <v>71</v>
      </c>
      <c r="C41" s="7">
        <v>12</v>
      </c>
      <c r="D41" s="6" t="s">
        <v>72</v>
      </c>
    </row>
    <row r="42" spans="2:4">
      <c r="B42" s="4" t="s">
        <v>37</v>
      </c>
      <c r="C42" s="9">
        <v>-1.8</v>
      </c>
      <c r="D42" s="6" t="s">
        <v>73</v>
      </c>
    </row>
    <row r="43" spans="2:4">
      <c r="B43" s="4" t="s">
        <v>39</v>
      </c>
      <c r="C43" s="8">
        <v>-0.15</v>
      </c>
      <c r="D43" s="6" t="s">
        <v>74</v>
      </c>
    </row>
    <row r="44" spans="2:4">
      <c r="B44" s="4" t="s">
        <v>75</v>
      </c>
      <c r="C44" s="5" t="s">
        <v>76</v>
      </c>
      <c r="D44" s="6" t="s">
        <v>77</v>
      </c>
    </row>
    <row r="46" spans="2:4">
      <c r="B46" s="3" t="s">
        <v>78</v>
      </c>
      <c r="C46" s="3"/>
      <c r="D46" s="3"/>
    </row>
    <row r="47" spans="2:4">
      <c r="B47" s="4" t="s">
        <v>79</v>
      </c>
      <c r="C47" s="10" t="s">
        <v>47</v>
      </c>
      <c r="D47" s="6" t="s">
        <v>80</v>
      </c>
    </row>
    <row r="48" spans="2:4">
      <c r="B48" s="4" t="s">
        <v>81</v>
      </c>
      <c r="C48" s="7">
        <v>2028</v>
      </c>
      <c r="D48" s="6" t="s">
        <v>82</v>
      </c>
    </row>
    <row r="49" spans="2:5">
      <c r="B49" s="4" t="s">
        <v>83</v>
      </c>
      <c r="C49" s="8">
        <v>0.05</v>
      </c>
      <c r="D49" s="6" t="s">
        <v>84</v>
      </c>
    </row>
    <row r="50" spans="2:5">
      <c r="B50" s="4" t="s">
        <v>85</v>
      </c>
      <c r="C50" s="10" t="s">
        <v>47</v>
      </c>
      <c r="D50" s="6" t="s">
        <v>86</v>
      </c>
    </row>
    <row r="51" spans="2:5">
      <c r="B51" s="4" t="s">
        <v>87</v>
      </c>
      <c r="C51" s="10" t="s">
        <v>47</v>
      </c>
      <c r="D51" s="6" t="s">
        <v>88</v>
      </c>
    </row>
    <row r="53" spans="2:5">
      <c r="B53" s="3" t="s">
        <v>89</v>
      </c>
      <c r="C53" s="3"/>
      <c r="D53" s="3"/>
    </row>
    <row r="54" spans="2:5">
      <c r="B54" s="4" t="s">
        <v>90</v>
      </c>
      <c r="C54" s="8">
        <v>0.2</v>
      </c>
      <c r="D54" s="6" t="s">
        <v>91</v>
      </c>
    </row>
    <row r="55" spans="2:5">
      <c r="B55" s="4" t="s">
        <v>92</v>
      </c>
      <c r="C55" s="7">
        <v>800000</v>
      </c>
      <c r="D55" s="6" t="s">
        <v>93</v>
      </c>
    </row>
    <row r="56" spans="2:5">
      <c r="B56" s="4" t="s">
        <v>94</v>
      </c>
      <c r="C56" s="7">
        <v>200000</v>
      </c>
      <c r="D56" s="6" t="s">
        <v>95</v>
      </c>
    </row>
    <row r="57" spans="2:5">
      <c r="B57" s="4" t="s">
        <v>96</v>
      </c>
      <c r="C57" s="8">
        <v>-0.03</v>
      </c>
      <c r="D57" s="6" t="s">
        <v>97</v>
      </c>
    </row>
    <row r="59" spans="2:5">
      <c r="B59" s="3" t="s">
        <v>98</v>
      </c>
      <c r="C59" s="3"/>
      <c r="D59" s="3"/>
      <c r="E59" s="3"/>
    </row>
    <row r="60" spans="2:5">
      <c r="B60" s="11" t="s">
        <v>99</v>
      </c>
      <c r="C60" s="11" t="s">
        <v>100</v>
      </c>
      <c r="D60" s="11" t="s">
        <v>101</v>
      </c>
      <c r="E60" s="11" t="s">
        <v>102</v>
      </c>
    </row>
    <row r="61" spans="2:5">
      <c r="B61" s="4" t="s">
        <v>19</v>
      </c>
      <c r="C61" s="8">
        <v>0.25</v>
      </c>
      <c r="D61" s="8">
        <v>0.35</v>
      </c>
      <c r="E61" s="8">
        <v>0.3</v>
      </c>
    </row>
    <row r="62" spans="2:5">
      <c r="B62" s="4" t="s">
        <v>103</v>
      </c>
      <c r="C62" s="8">
        <v>0.25</v>
      </c>
      <c r="D62" s="8">
        <v>0.35</v>
      </c>
      <c r="E62" s="8">
        <v>0.15</v>
      </c>
    </row>
    <row r="63" spans="2:5">
      <c r="B63" s="4" t="s">
        <v>104</v>
      </c>
      <c r="C63" s="8">
        <v>0.35</v>
      </c>
      <c r="D63" s="8">
        <v>0.45</v>
      </c>
      <c r="E63" s="8">
        <v>0.2</v>
      </c>
    </row>
    <row r="64" spans="2:5">
      <c r="B64" s="4" t="s">
        <v>105</v>
      </c>
      <c r="C64" s="7">
        <v>36</v>
      </c>
      <c r="D64" s="7">
        <v>24</v>
      </c>
      <c r="E64" s="7">
        <v>48</v>
      </c>
    </row>
    <row r="65" spans="2:5">
      <c r="B65" s="4" t="s">
        <v>106</v>
      </c>
      <c r="C65" s="8">
        <v>0.3</v>
      </c>
      <c r="D65" s="8">
        <v>0.25</v>
      </c>
      <c r="E65" s="8">
        <v>0.38</v>
      </c>
    </row>
    <row r="66" spans="2:5">
      <c r="B66" s="4" t="s">
        <v>107</v>
      </c>
      <c r="C66" s="5" t="s">
        <v>108</v>
      </c>
      <c r="D66" s="5" t="s">
        <v>109</v>
      </c>
      <c r="E66" s="5" t="s">
        <v>108</v>
      </c>
    </row>
    <row r="67" spans="2:5">
      <c r="B67" s="4" t="s">
        <v>110</v>
      </c>
      <c r="C67" s="8">
        <v>0.22</v>
      </c>
      <c r="D67" s="8">
        <v>0.28</v>
      </c>
      <c r="E67" s="8">
        <v>0.2</v>
      </c>
    </row>
  </sheetData>
  <mergeCells count="8">
    <mergeCell ref="B2:D2"/>
    <mergeCell ref="B3:D3"/>
    <mergeCell ref="B5:D5"/>
    <mergeCell ref="B16:D16"/>
    <mergeCell ref="B32:D32"/>
    <mergeCell ref="B46:D46"/>
    <mergeCell ref="B53:D53"/>
    <mergeCell ref="B59:E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E3A5F"/>
  </sheetPr>
  <dimension ref="B2:H33"/>
  <sheetViews>
    <sheetView showGridLines="0" workbookViewId="0"/>
  </sheetViews>
  <sheetFormatPr defaultRowHeight="15"/>
  <cols>
    <col min="1" max="1" width="3.7109375" customWidth="1"/>
    <col min="2" max="2" width="32.7109375" customWidth="1"/>
    <col min="3" max="8" width="18.7109375" customWidth="1"/>
  </cols>
  <sheetData>
    <row r="2" spans="2:8">
      <c r="B2" s="1" t="s">
        <v>111</v>
      </c>
      <c r="C2" s="1"/>
      <c r="D2" s="1"/>
      <c r="E2" s="1"/>
      <c r="F2" s="1"/>
      <c r="G2" s="1"/>
      <c r="H2" s="1"/>
    </row>
    <row r="4" spans="2:8" ht="30" customHeight="1">
      <c r="B4" s="11" t="s">
        <v>112</v>
      </c>
      <c r="C4" s="11" t="s">
        <v>113</v>
      </c>
      <c r="D4" s="11" t="s">
        <v>114</v>
      </c>
      <c r="E4" s="11" t="s">
        <v>115</v>
      </c>
      <c r="F4" s="11" t="s">
        <v>116</v>
      </c>
      <c r="G4" s="11" t="s">
        <v>117</v>
      </c>
      <c r="H4" s="11" t="s">
        <v>118</v>
      </c>
    </row>
    <row r="5" spans="2:8">
      <c r="B5" s="4" t="s">
        <v>119</v>
      </c>
      <c r="C5" s="12" t="s">
        <v>120</v>
      </c>
      <c r="D5" s="13">
        <v>0.32</v>
      </c>
      <c r="E5" s="14">
        <v>300</v>
      </c>
      <c r="F5" s="12" t="s">
        <v>121</v>
      </c>
      <c r="G5" s="12" t="s">
        <v>122</v>
      </c>
      <c r="H5" s="12" t="s">
        <v>123</v>
      </c>
    </row>
    <row r="6" spans="2:8">
      <c r="B6" s="4" t="s">
        <v>124</v>
      </c>
      <c r="C6" s="12" t="s">
        <v>125</v>
      </c>
      <c r="D6" s="13">
        <v>0.38</v>
      </c>
      <c r="E6" s="14">
        <v>178</v>
      </c>
      <c r="F6" s="12" t="s">
        <v>121</v>
      </c>
      <c r="G6" s="12" t="s">
        <v>122</v>
      </c>
      <c r="H6" s="12" t="s">
        <v>126</v>
      </c>
    </row>
    <row r="7" spans="2:8">
      <c r="B7" s="4" t="s">
        <v>127</v>
      </c>
      <c r="C7" s="12" t="s">
        <v>125</v>
      </c>
      <c r="D7" s="13">
        <v>0.08</v>
      </c>
      <c r="E7" s="14">
        <v>350</v>
      </c>
      <c r="F7" s="12" t="s">
        <v>128</v>
      </c>
      <c r="G7" s="12" t="s">
        <v>129</v>
      </c>
      <c r="H7" s="12" t="s">
        <v>126</v>
      </c>
    </row>
    <row r="8" spans="2:8">
      <c r="B8" s="4" t="s">
        <v>130</v>
      </c>
      <c r="C8" s="12" t="s">
        <v>120</v>
      </c>
      <c r="D8" s="13">
        <v>0.07000000000000001</v>
      </c>
      <c r="E8" s="14">
        <v>280</v>
      </c>
      <c r="F8" s="12" t="s">
        <v>121</v>
      </c>
      <c r="G8" s="12" t="s">
        <v>122</v>
      </c>
      <c r="H8" s="12" t="s">
        <v>126</v>
      </c>
    </row>
    <row r="9" spans="2:8">
      <c r="B9" s="4" t="s">
        <v>131</v>
      </c>
      <c r="C9" s="12" t="s">
        <v>120</v>
      </c>
      <c r="D9" s="13">
        <v>0.06</v>
      </c>
      <c r="E9" s="14">
        <v>195</v>
      </c>
      <c r="F9" s="12" t="s">
        <v>121</v>
      </c>
      <c r="G9" s="12" t="s">
        <v>122</v>
      </c>
      <c r="H9" s="12" t="s">
        <v>123</v>
      </c>
    </row>
    <row r="10" spans="2:8">
      <c r="B10" s="4" t="s">
        <v>132</v>
      </c>
      <c r="C10" s="12" t="s">
        <v>120</v>
      </c>
      <c r="D10" s="13">
        <v>0.04</v>
      </c>
      <c r="E10" s="14">
        <v>277</v>
      </c>
      <c r="F10" s="12" t="s">
        <v>133</v>
      </c>
      <c r="G10" s="12" t="s">
        <v>47</v>
      </c>
      <c r="H10" s="12" t="s">
        <v>123</v>
      </c>
    </row>
    <row r="11" spans="2:8">
      <c r="B11" s="4" t="s">
        <v>134</v>
      </c>
      <c r="C11" s="12" t="s">
        <v>135</v>
      </c>
      <c r="D11" s="13">
        <v>0.05</v>
      </c>
      <c r="E11" s="14">
        <v>150</v>
      </c>
      <c r="F11" s="12" t="s">
        <v>121</v>
      </c>
      <c r="G11" s="12" t="s">
        <v>122</v>
      </c>
      <c r="H11" s="12" t="s">
        <v>126</v>
      </c>
    </row>
    <row r="14" spans="2:8">
      <c r="B14" s="3" t="s">
        <v>136</v>
      </c>
      <c r="C14" s="3"/>
      <c r="D14" s="3"/>
      <c r="E14" s="3"/>
      <c r="F14" s="3"/>
      <c r="G14" s="3"/>
      <c r="H14" s="3"/>
    </row>
    <row r="15" spans="2:8">
      <c r="B15" s="11" t="s">
        <v>137</v>
      </c>
      <c r="C15" s="11" t="s">
        <v>127</v>
      </c>
      <c r="D15" s="11" t="s">
        <v>138</v>
      </c>
      <c r="E15" s="11" t="s">
        <v>139</v>
      </c>
    </row>
    <row r="16" spans="2:8">
      <c r="B16" s="4" t="s">
        <v>140</v>
      </c>
      <c r="C16" s="12" t="s">
        <v>141</v>
      </c>
      <c r="D16" s="12" t="s">
        <v>142</v>
      </c>
      <c r="E16" s="15" t="s">
        <v>143</v>
      </c>
    </row>
    <row r="17" spans="2:6">
      <c r="B17" s="4" t="s">
        <v>144</v>
      </c>
      <c r="C17" s="12" t="s">
        <v>145</v>
      </c>
      <c r="D17" s="12" t="s">
        <v>146</v>
      </c>
      <c r="E17" s="15" t="s">
        <v>143</v>
      </c>
    </row>
    <row r="18" spans="2:6">
      <c r="B18" s="4" t="s">
        <v>147</v>
      </c>
      <c r="C18" s="12" t="s">
        <v>148</v>
      </c>
      <c r="D18" s="12" t="s">
        <v>149</v>
      </c>
      <c r="E18" s="15" t="s">
        <v>143</v>
      </c>
    </row>
    <row r="19" spans="2:6">
      <c r="B19" s="4" t="s">
        <v>150</v>
      </c>
      <c r="C19" s="12" t="s">
        <v>151</v>
      </c>
      <c r="D19" s="12" t="s">
        <v>152</v>
      </c>
      <c r="E19" s="16" t="s">
        <v>153</v>
      </c>
    </row>
    <row r="20" spans="2:6">
      <c r="B20" s="4" t="s">
        <v>154</v>
      </c>
      <c r="C20" s="12" t="s">
        <v>155</v>
      </c>
      <c r="D20" s="12" t="s">
        <v>156</v>
      </c>
      <c r="E20" s="15" t="s">
        <v>143</v>
      </c>
    </row>
    <row r="21" spans="2:6">
      <c r="B21" s="4" t="s">
        <v>157</v>
      </c>
      <c r="C21" s="12" t="s">
        <v>158</v>
      </c>
      <c r="D21" s="12" t="s">
        <v>159</v>
      </c>
      <c r="E21" s="15" t="s">
        <v>143</v>
      </c>
    </row>
    <row r="22" spans="2:6">
      <c r="B22" s="4" t="s">
        <v>160</v>
      </c>
      <c r="C22" s="12" t="s">
        <v>161</v>
      </c>
      <c r="D22" s="12" t="s">
        <v>162</v>
      </c>
      <c r="E22" s="16" t="s">
        <v>153</v>
      </c>
    </row>
    <row r="23" spans="2:6">
      <c r="B23" s="4" t="s">
        <v>163</v>
      </c>
      <c r="C23" s="12" t="s">
        <v>164</v>
      </c>
      <c r="D23" s="12" t="s">
        <v>165</v>
      </c>
      <c r="E23" s="17" t="s">
        <v>166</v>
      </c>
    </row>
    <row r="26" spans="2:6">
      <c r="B26" s="3" t="s">
        <v>167</v>
      </c>
      <c r="C26" s="3"/>
      <c r="D26" s="3"/>
      <c r="E26" s="3"/>
      <c r="F26" s="3"/>
    </row>
    <row r="27" spans="2:6">
      <c r="B27" s="11" t="s">
        <v>168</v>
      </c>
      <c r="C27" s="11" t="s">
        <v>169</v>
      </c>
      <c r="D27" s="11" t="s">
        <v>170</v>
      </c>
      <c r="E27" s="11" t="s">
        <v>171</v>
      </c>
    </row>
    <row r="28" spans="2:6">
      <c r="B28" s="4" t="s">
        <v>172</v>
      </c>
      <c r="C28" s="12" t="s">
        <v>173</v>
      </c>
      <c r="D28" s="12" t="s">
        <v>174</v>
      </c>
      <c r="E28" s="15" t="s">
        <v>175</v>
      </c>
    </row>
    <row r="29" spans="2:6">
      <c r="B29" s="4" t="s">
        <v>107</v>
      </c>
      <c r="C29" s="12" t="s">
        <v>176</v>
      </c>
      <c r="D29" s="12" t="s">
        <v>177</v>
      </c>
      <c r="E29" s="17" t="s">
        <v>178</v>
      </c>
    </row>
    <row r="30" spans="2:6">
      <c r="B30" s="4" t="s">
        <v>179</v>
      </c>
      <c r="C30" s="12" t="s">
        <v>180</v>
      </c>
      <c r="D30" s="12" t="s">
        <v>181</v>
      </c>
      <c r="E30" s="15" t="s">
        <v>175</v>
      </c>
    </row>
    <row r="31" spans="2:6">
      <c r="B31" s="4" t="s">
        <v>182</v>
      </c>
      <c r="C31" s="12" t="s">
        <v>183</v>
      </c>
      <c r="D31" s="12" t="s">
        <v>184</v>
      </c>
      <c r="E31" s="17" t="s">
        <v>178</v>
      </c>
    </row>
    <row r="32" spans="2:6">
      <c r="B32" s="4" t="s">
        <v>185</v>
      </c>
      <c r="C32" s="12" t="s">
        <v>186</v>
      </c>
      <c r="D32" s="12" t="s">
        <v>181</v>
      </c>
      <c r="E32" s="15" t="s">
        <v>175</v>
      </c>
    </row>
    <row r="33" spans="2:5">
      <c r="B33" s="4" t="s">
        <v>187</v>
      </c>
      <c r="C33" s="12" t="s">
        <v>188</v>
      </c>
      <c r="D33" s="12" t="s">
        <v>189</v>
      </c>
      <c r="E33" s="15" t="s">
        <v>175</v>
      </c>
    </row>
  </sheetData>
  <mergeCells count="3">
    <mergeCell ref="B2:H2"/>
    <mergeCell ref="B14:H14"/>
    <mergeCell ref="B26:F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59E0B"/>
  </sheetPr>
  <dimension ref="B2:Q69"/>
  <sheetViews>
    <sheetView showGridLines="0" workbookViewId="0"/>
  </sheetViews>
  <sheetFormatPr defaultRowHeight="15"/>
  <cols>
    <col min="1" max="1" width="3.7109375" customWidth="1"/>
    <col min="2" max="2" width="12.7109375" customWidth="1"/>
    <col min="3" max="17" width="15.7109375" customWidth="1"/>
  </cols>
  <sheetData>
    <row r="2" spans="2:17">
      <c r="B2" s="1" t="s">
        <v>190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7">
      <c r="B4" s="18" t="s">
        <v>191</v>
      </c>
      <c r="C4" s="18"/>
      <c r="D4" s="18" t="s">
        <v>192</v>
      </c>
      <c r="E4" s="18"/>
      <c r="F4" s="18" t="s">
        <v>193</v>
      </c>
      <c r="G4" s="18"/>
      <c r="H4" s="18" t="s">
        <v>194</v>
      </c>
      <c r="I4" s="18"/>
      <c r="J4" s="18" t="s">
        <v>196</v>
      </c>
      <c r="K4" s="18"/>
    </row>
    <row r="5" spans="2:17">
      <c r="B5" s="19">
        <v>507948036.97</v>
      </c>
      <c r="C5" s="19"/>
      <c r="D5" s="19">
        <v>5765745608.79</v>
      </c>
      <c r="E5" s="19"/>
      <c r="F5" s="20">
        <v>0.2482</v>
      </c>
      <c r="G5" s="20"/>
      <c r="H5" s="21" t="s">
        <v>195</v>
      </c>
      <c r="I5" s="21"/>
      <c r="J5" s="22">
        <v>4552596487.01</v>
      </c>
      <c r="K5" s="22"/>
    </row>
    <row r="7" spans="2:17">
      <c r="B7" s="23" t="s">
        <v>197</v>
      </c>
      <c r="C7" s="23"/>
      <c r="D7" s="23"/>
      <c r="E7" s="23"/>
      <c r="F7" s="23"/>
      <c r="G7" s="23"/>
    </row>
    <row r="9" spans="2:17" ht="35" customHeight="1">
      <c r="B9" s="24" t="s">
        <v>198</v>
      </c>
      <c r="C9" s="24" t="s">
        <v>199</v>
      </c>
      <c r="D9" s="24" t="s">
        <v>200</v>
      </c>
      <c r="E9" s="24" t="s">
        <v>201</v>
      </c>
      <c r="F9" s="24" t="s">
        <v>202</v>
      </c>
      <c r="G9" s="24" t="s">
        <v>203</v>
      </c>
      <c r="H9" s="24" t="s">
        <v>204</v>
      </c>
      <c r="I9" s="24" t="s">
        <v>115</v>
      </c>
      <c r="J9" s="24" t="s">
        <v>205</v>
      </c>
      <c r="K9" s="24" t="s">
        <v>206</v>
      </c>
      <c r="L9" s="24" t="s">
        <v>207</v>
      </c>
      <c r="M9" s="24" t="s">
        <v>208</v>
      </c>
      <c r="N9" s="24" t="s">
        <v>209</v>
      </c>
      <c r="O9" s="24" t="s">
        <v>210</v>
      </c>
      <c r="P9" s="24" t="s">
        <v>211</v>
      </c>
      <c r="Q9" s="24" t="s">
        <v>212</v>
      </c>
    </row>
    <row r="10" spans="2:17">
      <c r="B10" t="s">
        <v>213</v>
      </c>
      <c r="C10" s="25">
        <v>0</v>
      </c>
      <c r="D10" s="25">
        <v>950000</v>
      </c>
      <c r="E10" s="13">
        <v>0.1003</v>
      </c>
      <c r="F10" s="25">
        <v>95251</v>
      </c>
      <c r="G10" s="26">
        <v>1</v>
      </c>
      <c r="H10" s="25">
        <v>0</v>
      </c>
      <c r="I10" s="14">
        <v>350</v>
      </c>
      <c r="J10" s="27">
        <v>33337850</v>
      </c>
      <c r="K10" s="27">
        <v>6667570</v>
      </c>
      <c r="L10" s="27">
        <v>25670280</v>
      </c>
      <c r="M10" s="13">
        <v>0.3528</v>
      </c>
      <c r="N10" s="25">
        <v>335205</v>
      </c>
      <c r="O10" s="27">
        <v>100561500</v>
      </c>
      <c r="P10" s="27">
        <v>33337850</v>
      </c>
      <c r="Q10" s="27">
        <v>25670280</v>
      </c>
    </row>
    <row r="11" spans="2:17">
      <c r="B11" s="28" t="s">
        <v>214</v>
      </c>
      <c r="C11" s="29">
        <v>1</v>
      </c>
      <c r="D11" s="29">
        <v>967682</v>
      </c>
      <c r="E11" s="30">
        <v>0.1023</v>
      </c>
      <c r="F11" s="29">
        <v>99245</v>
      </c>
      <c r="G11" s="31">
        <v>1.002</v>
      </c>
      <c r="H11" s="29">
        <v>0</v>
      </c>
      <c r="I11" s="32">
        <v>349.11</v>
      </c>
      <c r="J11" s="32">
        <v>34647693.19</v>
      </c>
      <c r="K11" s="32">
        <v>6929538.64</v>
      </c>
      <c r="L11" s="32">
        <v>26718154.55</v>
      </c>
      <c r="M11" s="30">
        <v>0.3521</v>
      </c>
      <c r="N11" s="29">
        <v>340737</v>
      </c>
      <c r="O11" s="32">
        <v>102221100</v>
      </c>
      <c r="P11" s="32">
        <v>67985543.19</v>
      </c>
      <c r="Q11" s="32">
        <v>52388434.55</v>
      </c>
    </row>
    <row r="12" spans="2:17">
      <c r="B12" t="s">
        <v>215</v>
      </c>
      <c r="C12" s="25">
        <v>2</v>
      </c>
      <c r="D12" s="25">
        <v>985390</v>
      </c>
      <c r="E12" s="13">
        <v>0.1046</v>
      </c>
      <c r="F12" s="25">
        <v>103508</v>
      </c>
      <c r="G12" s="26">
        <v>1.004</v>
      </c>
      <c r="H12" s="25">
        <v>0</v>
      </c>
      <c r="I12" s="14">
        <v>348.23</v>
      </c>
      <c r="J12" s="27">
        <v>36044354.35</v>
      </c>
      <c r="K12" s="27">
        <v>7208870.87</v>
      </c>
      <c r="L12" s="27">
        <v>27835483.48</v>
      </c>
      <c r="M12" s="13">
        <v>0.3513</v>
      </c>
      <c r="N12" s="25">
        <v>346192</v>
      </c>
      <c r="O12" s="27">
        <v>103857600</v>
      </c>
      <c r="P12" s="27">
        <v>104029897.53</v>
      </c>
      <c r="Q12" s="27">
        <v>80223918.03</v>
      </c>
    </row>
    <row r="13" spans="2:17">
      <c r="B13" s="28" t="s">
        <v>216</v>
      </c>
      <c r="C13" s="29">
        <v>3</v>
      </c>
      <c r="D13" s="29">
        <v>1003115</v>
      </c>
      <c r="E13" s="30">
        <v>0.107</v>
      </c>
      <c r="F13" s="29">
        <v>108056</v>
      </c>
      <c r="G13" s="31">
        <v>1.007</v>
      </c>
      <c r="H13" s="29">
        <v>0</v>
      </c>
      <c r="I13" s="32">
        <v>347.34</v>
      </c>
      <c r="J13" s="32">
        <v>37532704.95</v>
      </c>
      <c r="K13" s="32">
        <v>7506540.99</v>
      </c>
      <c r="L13" s="32">
        <v>29026163.96</v>
      </c>
      <c r="M13" s="30">
        <v>0.3505</v>
      </c>
      <c r="N13" s="29">
        <v>351559</v>
      </c>
      <c r="O13" s="32">
        <v>105467700</v>
      </c>
      <c r="P13" s="32">
        <v>141562602.48</v>
      </c>
      <c r="Q13" s="32">
        <v>109250081.99</v>
      </c>
    </row>
    <row r="14" spans="2:17">
      <c r="B14" t="s">
        <v>217</v>
      </c>
      <c r="C14" s="25">
        <v>4</v>
      </c>
      <c r="D14" s="25">
        <v>1020844</v>
      </c>
      <c r="E14" s="13">
        <v>0.1096</v>
      </c>
      <c r="F14" s="25">
        <v>112907</v>
      </c>
      <c r="G14" s="26">
        <v>1.009</v>
      </c>
      <c r="H14" s="25">
        <v>0</v>
      </c>
      <c r="I14" s="14">
        <v>346.46</v>
      </c>
      <c r="J14" s="27">
        <v>39118256.55</v>
      </c>
      <c r="K14" s="27">
        <v>7823651.31</v>
      </c>
      <c r="L14" s="27">
        <v>30294605.24</v>
      </c>
      <c r="M14" s="13">
        <v>0.3495</v>
      </c>
      <c r="N14" s="25">
        <v>356828</v>
      </c>
      <c r="O14" s="27">
        <v>107048400</v>
      </c>
      <c r="P14" s="27">
        <v>180680859.03</v>
      </c>
      <c r="Q14" s="27">
        <v>139544687.22</v>
      </c>
    </row>
    <row r="15" spans="2:17">
      <c r="B15" s="28" t="s">
        <v>218</v>
      </c>
      <c r="C15" s="29">
        <v>5</v>
      </c>
      <c r="D15" s="29">
        <v>1038568</v>
      </c>
      <c r="E15" s="30">
        <v>0.1124</v>
      </c>
      <c r="F15" s="29">
        <v>118079</v>
      </c>
      <c r="G15" s="31">
        <v>1.011</v>
      </c>
      <c r="H15" s="29">
        <v>0</v>
      </c>
      <c r="I15" s="32">
        <v>345.59</v>
      </c>
      <c r="J15" s="32">
        <v>40806461.18</v>
      </c>
      <c r="K15" s="32">
        <v>8161292.24</v>
      </c>
      <c r="L15" s="32">
        <v>31645168.94</v>
      </c>
      <c r="M15" s="30">
        <v>0.3485</v>
      </c>
      <c r="N15" s="29">
        <v>361991</v>
      </c>
      <c r="O15" s="32">
        <v>108597300</v>
      </c>
      <c r="P15" s="32">
        <v>221487320.21</v>
      </c>
      <c r="Q15" s="32">
        <v>171189856.16</v>
      </c>
    </row>
    <row r="16" spans="2:17">
      <c r="B16" t="s">
        <v>219</v>
      </c>
      <c r="C16" s="25">
        <v>6</v>
      </c>
      <c r="D16" s="25">
        <v>1056275</v>
      </c>
      <c r="E16" s="13">
        <v>0.1155</v>
      </c>
      <c r="F16" s="25">
        <v>123587</v>
      </c>
      <c r="G16" s="26">
        <v>1.013</v>
      </c>
      <c r="H16" s="25">
        <v>0</v>
      </c>
      <c r="I16" s="14">
        <v>344.71</v>
      </c>
      <c r="J16" s="27">
        <v>42601677.62</v>
      </c>
      <c r="K16" s="27">
        <v>8520335.52</v>
      </c>
      <c r="L16" s="27">
        <v>33081342.1</v>
      </c>
      <c r="M16" s="13">
        <v>0.3475</v>
      </c>
      <c r="N16" s="25">
        <v>367038</v>
      </c>
      <c r="O16" s="27">
        <v>110111400</v>
      </c>
      <c r="P16" s="27">
        <v>264088997.83</v>
      </c>
      <c r="Q16" s="27">
        <v>204271198.26</v>
      </c>
    </row>
    <row r="17" spans="2:17">
      <c r="B17" s="28" t="s">
        <v>220</v>
      </c>
      <c r="C17" s="29">
        <v>7</v>
      </c>
      <c r="D17" s="29">
        <v>1073953</v>
      </c>
      <c r="E17" s="30">
        <v>0.1187</v>
      </c>
      <c r="F17" s="29">
        <v>129441</v>
      </c>
      <c r="G17" s="31">
        <v>1.016</v>
      </c>
      <c r="H17" s="29">
        <v>0</v>
      </c>
      <c r="I17" s="32">
        <v>343.84</v>
      </c>
      <c r="J17" s="32">
        <v>44506497.21</v>
      </c>
      <c r="K17" s="32">
        <v>8901299.439999999</v>
      </c>
      <c r="L17" s="32">
        <v>34605197.77</v>
      </c>
      <c r="M17" s="30">
        <v>0.3463</v>
      </c>
      <c r="N17" s="29">
        <v>371960</v>
      </c>
      <c r="O17" s="32">
        <v>111588000</v>
      </c>
      <c r="P17" s="32">
        <v>308595495.04</v>
      </c>
      <c r="Q17" s="32">
        <v>238876396.03</v>
      </c>
    </row>
    <row r="18" spans="2:17">
      <c r="B18" t="s">
        <v>221</v>
      </c>
      <c r="C18" s="25">
        <v>8</v>
      </c>
      <c r="D18" s="25">
        <v>1091592</v>
      </c>
      <c r="E18" s="13">
        <v>0.1221</v>
      </c>
      <c r="F18" s="25">
        <v>135655</v>
      </c>
      <c r="G18" s="26">
        <v>1.018</v>
      </c>
      <c r="H18" s="25">
        <v>0</v>
      </c>
      <c r="I18" s="14">
        <v>342.96</v>
      </c>
      <c r="J18" s="27">
        <v>46524852.64</v>
      </c>
      <c r="K18" s="27">
        <v>9304970.529999999</v>
      </c>
      <c r="L18" s="27">
        <v>36219882.11</v>
      </c>
      <c r="M18" s="13">
        <v>0.3451</v>
      </c>
      <c r="N18" s="25">
        <v>376752</v>
      </c>
      <c r="O18" s="27">
        <v>113025600</v>
      </c>
      <c r="P18" s="27">
        <v>355120347.68</v>
      </c>
      <c r="Q18" s="27">
        <v>275096278.14</v>
      </c>
    </row>
    <row r="19" spans="2:17">
      <c r="B19" s="28" t="s">
        <v>222</v>
      </c>
      <c r="C19" s="29">
        <v>9</v>
      </c>
      <c r="D19" s="29">
        <v>1109178</v>
      </c>
      <c r="E19" s="30">
        <v>0.1257</v>
      </c>
      <c r="F19" s="29">
        <v>142233</v>
      </c>
      <c r="G19" s="31">
        <v>1.02</v>
      </c>
      <c r="H19" s="29">
        <v>0</v>
      </c>
      <c r="I19" s="32">
        <v>342.1</v>
      </c>
      <c r="J19" s="32">
        <v>48657211.4</v>
      </c>
      <c r="K19" s="32">
        <v>9731442.279999999</v>
      </c>
      <c r="L19" s="32">
        <v>37925769.12</v>
      </c>
      <c r="M19" s="30">
        <v>0.3439</v>
      </c>
      <c r="N19" s="29">
        <v>381405</v>
      </c>
      <c r="O19" s="32">
        <v>114421500</v>
      </c>
      <c r="P19" s="32">
        <v>403777559.08</v>
      </c>
      <c r="Q19" s="32">
        <v>313022047.26</v>
      </c>
    </row>
    <row r="20" spans="2:17">
      <c r="B20" t="s">
        <v>223</v>
      </c>
      <c r="C20" s="25">
        <v>10</v>
      </c>
      <c r="D20" s="25">
        <v>1126702</v>
      </c>
      <c r="E20" s="13">
        <v>0.1295</v>
      </c>
      <c r="F20" s="25">
        <v>149182</v>
      </c>
      <c r="G20" s="26">
        <v>1.022</v>
      </c>
      <c r="H20" s="25">
        <v>0</v>
      </c>
      <c r="I20" s="14">
        <v>341.23</v>
      </c>
      <c r="J20" s="27">
        <v>50905055.44</v>
      </c>
      <c r="K20" s="27">
        <v>10181011.09</v>
      </c>
      <c r="L20" s="27">
        <v>39724044.35</v>
      </c>
      <c r="M20" s="13">
        <v>0.3425</v>
      </c>
      <c r="N20" s="25">
        <v>385917</v>
      </c>
      <c r="O20" s="27">
        <v>115775100</v>
      </c>
      <c r="P20" s="27">
        <v>454682614.52</v>
      </c>
      <c r="Q20" s="27">
        <v>352746091.61</v>
      </c>
    </row>
    <row r="21" spans="2:17">
      <c r="B21" s="28" t="s">
        <v>224</v>
      </c>
      <c r="C21" s="29">
        <v>11</v>
      </c>
      <c r="D21" s="29">
        <v>1144150</v>
      </c>
      <c r="E21" s="30">
        <v>0.1335</v>
      </c>
      <c r="F21" s="29">
        <v>156496</v>
      </c>
      <c r="G21" s="31">
        <v>1.024</v>
      </c>
      <c r="H21" s="29">
        <v>0</v>
      </c>
      <c r="I21" s="32">
        <v>340.36</v>
      </c>
      <c r="J21" s="32">
        <v>53265422.44</v>
      </c>
      <c r="K21" s="32">
        <v>10653084.49</v>
      </c>
      <c r="L21" s="32">
        <v>41612337.95</v>
      </c>
      <c r="M21" s="30">
        <v>0.3411</v>
      </c>
      <c r="N21" s="29">
        <v>390283</v>
      </c>
      <c r="O21" s="32">
        <v>117084900</v>
      </c>
      <c r="P21" s="32">
        <v>507948036.95</v>
      </c>
      <c r="Q21" s="32">
        <v>394358429.56</v>
      </c>
    </row>
    <row r="22" spans="2:17">
      <c r="B22" t="s">
        <v>225</v>
      </c>
      <c r="C22" s="25">
        <v>12</v>
      </c>
      <c r="D22" s="25">
        <v>1161510</v>
      </c>
      <c r="E22" s="13">
        <v>0.1377</v>
      </c>
      <c r="F22" s="25">
        <v>164170</v>
      </c>
      <c r="G22" s="26">
        <v>1.027</v>
      </c>
      <c r="H22" s="25">
        <v>0</v>
      </c>
      <c r="I22" s="14">
        <v>339.5</v>
      </c>
      <c r="J22" s="27">
        <v>55735715</v>
      </c>
      <c r="K22" s="27">
        <v>11147143</v>
      </c>
      <c r="L22" s="27">
        <v>43588572</v>
      </c>
      <c r="M22" s="13">
        <v>0.3396</v>
      </c>
      <c r="N22" s="25">
        <v>394501</v>
      </c>
      <c r="O22" s="27">
        <v>118350300</v>
      </c>
      <c r="P22" s="27">
        <v>563683751.95</v>
      </c>
      <c r="Q22" s="27">
        <v>437947001.56</v>
      </c>
    </row>
    <row r="23" spans="2:17">
      <c r="B23" s="28" t="s">
        <v>226</v>
      </c>
      <c r="C23" s="29">
        <v>13</v>
      </c>
      <c r="D23" s="29">
        <v>1178772</v>
      </c>
      <c r="E23" s="30">
        <v>0.142</v>
      </c>
      <c r="F23" s="29">
        <v>172193</v>
      </c>
      <c r="G23" s="31">
        <v>1.029</v>
      </c>
      <c r="H23" s="29">
        <v>0</v>
      </c>
      <c r="I23" s="32">
        <v>338.64</v>
      </c>
      <c r="J23" s="32">
        <v>58311325.77</v>
      </c>
      <c r="K23" s="32">
        <v>11662265.15</v>
      </c>
      <c r="L23" s="32">
        <v>45649060.61</v>
      </c>
      <c r="M23" s="30">
        <v>0.3381</v>
      </c>
      <c r="N23" s="29">
        <v>398572</v>
      </c>
      <c r="O23" s="32">
        <v>119571600</v>
      </c>
      <c r="P23" s="32">
        <v>621995077.72</v>
      </c>
      <c r="Q23" s="32">
        <v>483596062.18</v>
      </c>
    </row>
    <row r="24" spans="2:17">
      <c r="B24" t="s">
        <v>227</v>
      </c>
      <c r="C24" s="25">
        <v>14</v>
      </c>
      <c r="D24" s="25">
        <v>1195921</v>
      </c>
      <c r="E24" s="13">
        <v>0.1464</v>
      </c>
      <c r="F24" s="25">
        <v>180548</v>
      </c>
      <c r="G24" s="26">
        <v>1.031</v>
      </c>
      <c r="H24" s="25">
        <v>0</v>
      </c>
      <c r="I24" s="14">
        <v>337.78</v>
      </c>
      <c r="J24" s="27">
        <v>60985663</v>
      </c>
      <c r="K24" s="27">
        <v>12197132.6</v>
      </c>
      <c r="L24" s="27">
        <v>47788530.4</v>
      </c>
      <c r="M24" s="13">
        <v>0.3366</v>
      </c>
      <c r="N24" s="25">
        <v>402498</v>
      </c>
      <c r="O24" s="27">
        <v>120749400</v>
      </c>
      <c r="P24" s="27">
        <v>682980740.72</v>
      </c>
      <c r="Q24" s="27">
        <v>531384592.58</v>
      </c>
    </row>
    <row r="25" spans="2:17">
      <c r="B25" s="28" t="s">
        <v>228</v>
      </c>
      <c r="C25" s="29">
        <v>15</v>
      </c>
      <c r="D25" s="29">
        <v>1212946</v>
      </c>
      <c r="E25" s="30">
        <v>0.151</v>
      </c>
      <c r="F25" s="29">
        <v>189213</v>
      </c>
      <c r="G25" s="31">
        <v>1.033</v>
      </c>
      <c r="H25" s="29">
        <v>0</v>
      </c>
      <c r="I25" s="32">
        <v>336.92</v>
      </c>
      <c r="J25" s="32">
        <v>63750512.98</v>
      </c>
      <c r="K25" s="32">
        <v>12750102.6</v>
      </c>
      <c r="L25" s="32">
        <v>50000410.38</v>
      </c>
      <c r="M25" s="30">
        <v>0.335</v>
      </c>
      <c r="N25" s="29">
        <v>406281</v>
      </c>
      <c r="O25" s="32">
        <v>121884300</v>
      </c>
      <c r="P25" s="32">
        <v>746731253.71</v>
      </c>
      <c r="Q25" s="32">
        <v>581385002.96</v>
      </c>
    </row>
    <row r="26" spans="2:17">
      <c r="B26" t="s">
        <v>229</v>
      </c>
      <c r="C26" s="25">
        <v>16</v>
      </c>
      <c r="D26" s="25">
        <v>1229834</v>
      </c>
      <c r="E26" s="13">
        <v>0.1556</v>
      </c>
      <c r="F26" s="25">
        <v>198158</v>
      </c>
      <c r="G26" s="26">
        <v>1.036</v>
      </c>
      <c r="H26" s="25">
        <v>0</v>
      </c>
      <c r="I26" s="14">
        <v>336.07</v>
      </c>
      <c r="J26" s="27">
        <v>66595052.71</v>
      </c>
      <c r="K26" s="27">
        <v>13319010.54</v>
      </c>
      <c r="L26" s="27">
        <v>52276042.17</v>
      </c>
      <c r="M26" s="13">
        <v>0.3333</v>
      </c>
      <c r="N26" s="25">
        <v>409927</v>
      </c>
      <c r="O26" s="27">
        <v>122978100</v>
      </c>
      <c r="P26" s="27">
        <v>813326306.41</v>
      </c>
      <c r="Q26" s="27">
        <v>633661045.13</v>
      </c>
    </row>
    <row r="27" spans="2:17">
      <c r="B27" s="28" t="s">
        <v>230</v>
      </c>
      <c r="C27" s="29">
        <v>17</v>
      </c>
      <c r="D27" s="29">
        <v>1246573</v>
      </c>
      <c r="E27" s="30">
        <v>0.1603</v>
      </c>
      <c r="F27" s="29">
        <v>207351</v>
      </c>
      <c r="G27" s="31">
        <v>1.038</v>
      </c>
      <c r="H27" s="29">
        <v>0</v>
      </c>
      <c r="I27" s="32">
        <v>335.22</v>
      </c>
      <c r="J27" s="32">
        <v>69507894.84</v>
      </c>
      <c r="K27" s="32">
        <v>13901578.97</v>
      </c>
      <c r="L27" s="32">
        <v>54606315.88</v>
      </c>
      <c r="M27" s="30">
        <v>0.3317</v>
      </c>
      <c r="N27" s="29">
        <v>413444</v>
      </c>
      <c r="O27" s="32">
        <v>124033200</v>
      </c>
      <c r="P27" s="32">
        <v>882834201.26</v>
      </c>
      <c r="Q27" s="32">
        <v>688267361.01</v>
      </c>
    </row>
    <row r="28" spans="2:17">
      <c r="B28" t="s">
        <v>231</v>
      </c>
      <c r="C28" s="25">
        <v>18</v>
      </c>
      <c r="D28" s="25">
        <v>1263151</v>
      </c>
      <c r="E28" s="13">
        <v>0.165</v>
      </c>
      <c r="F28" s="25">
        <v>216755</v>
      </c>
      <c r="G28" s="26">
        <v>1.04</v>
      </c>
      <c r="H28" s="25">
        <v>0</v>
      </c>
      <c r="I28" s="14">
        <v>334.37</v>
      </c>
      <c r="J28" s="27">
        <v>72476092.42</v>
      </c>
      <c r="K28" s="27">
        <v>14495218.48</v>
      </c>
      <c r="L28" s="27">
        <v>56980873.93</v>
      </c>
      <c r="M28" s="13">
        <v>0.33</v>
      </c>
      <c r="N28" s="25">
        <v>416839</v>
      </c>
      <c r="O28" s="27">
        <v>125051700</v>
      </c>
      <c r="P28" s="27">
        <v>955310293.6799999</v>
      </c>
      <c r="Q28" s="27">
        <v>745248234.9400001</v>
      </c>
    </row>
    <row r="29" spans="2:17">
      <c r="B29" s="28" t="s">
        <v>232</v>
      </c>
      <c r="C29" s="29">
        <v>19</v>
      </c>
      <c r="D29" s="29">
        <v>1279555</v>
      </c>
      <c r="E29" s="30">
        <v>0.1697</v>
      </c>
      <c r="F29" s="29">
        <v>226331</v>
      </c>
      <c r="G29" s="31">
        <v>1.042</v>
      </c>
      <c r="H29" s="29">
        <v>0</v>
      </c>
      <c r="I29" s="32">
        <v>333.52</v>
      </c>
      <c r="J29" s="32">
        <v>75486159.88</v>
      </c>
      <c r="K29" s="32">
        <v>15097231.98</v>
      </c>
      <c r="L29" s="32">
        <v>59388927.9</v>
      </c>
      <c r="M29" s="30">
        <v>0.3283</v>
      </c>
      <c r="N29" s="29">
        <v>420122</v>
      </c>
      <c r="O29" s="32">
        <v>126036600</v>
      </c>
      <c r="P29" s="32">
        <v>1030796453.55</v>
      </c>
      <c r="Q29" s="32">
        <v>804637162.84</v>
      </c>
    </row>
    <row r="30" spans="2:17">
      <c r="B30" t="s">
        <v>233</v>
      </c>
      <c r="C30" s="25">
        <v>20</v>
      </c>
      <c r="D30" s="25">
        <v>1295771</v>
      </c>
      <c r="E30" s="13">
        <v>0.1744</v>
      </c>
      <c r="F30" s="25">
        <v>236032</v>
      </c>
      <c r="G30" s="26">
        <v>1.044</v>
      </c>
      <c r="H30" s="25">
        <v>0</v>
      </c>
      <c r="I30" s="14">
        <v>332.68</v>
      </c>
      <c r="J30" s="27">
        <v>78522084.68000001</v>
      </c>
      <c r="K30" s="27">
        <v>15704416.94</v>
      </c>
      <c r="L30" s="27">
        <v>61817667.75</v>
      </c>
      <c r="M30" s="13">
        <v>0.3267</v>
      </c>
      <c r="N30" s="25">
        <v>423302</v>
      </c>
      <c r="O30" s="27">
        <v>126990600</v>
      </c>
      <c r="P30" s="27">
        <v>1109318538.23</v>
      </c>
      <c r="Q30" s="27">
        <v>866454830.59</v>
      </c>
    </row>
    <row r="31" spans="2:17">
      <c r="B31" s="28" t="s">
        <v>234</v>
      </c>
      <c r="C31" s="29">
        <v>21</v>
      </c>
      <c r="D31" s="29">
        <v>1311789</v>
      </c>
      <c r="E31" s="30">
        <v>0.179</v>
      </c>
      <c r="F31" s="29">
        <v>245818</v>
      </c>
      <c r="G31" s="31">
        <v>1.047</v>
      </c>
      <c r="H31" s="29">
        <v>0</v>
      </c>
      <c r="I31" s="32">
        <v>331.83</v>
      </c>
      <c r="J31" s="32">
        <v>81570337.68000001</v>
      </c>
      <c r="K31" s="32">
        <v>16314067.54</v>
      </c>
      <c r="L31" s="32">
        <v>64256270.15</v>
      </c>
      <c r="M31" s="30">
        <v>0.325</v>
      </c>
      <c r="N31" s="29">
        <v>426391</v>
      </c>
      <c r="O31" s="32">
        <v>127917300</v>
      </c>
      <c r="P31" s="32">
        <v>1190888875.92</v>
      </c>
      <c r="Q31" s="32">
        <v>930711100.73</v>
      </c>
    </row>
    <row r="32" spans="2:17">
      <c r="B32" t="s">
        <v>235</v>
      </c>
      <c r="C32" s="25">
        <v>22</v>
      </c>
      <c r="D32" s="25">
        <v>1327595</v>
      </c>
      <c r="E32" s="13">
        <v>0.1836</v>
      </c>
      <c r="F32" s="25">
        <v>255640</v>
      </c>
      <c r="G32" s="26">
        <v>1.049</v>
      </c>
      <c r="H32" s="25">
        <v>0</v>
      </c>
      <c r="I32" s="14">
        <v>330.99</v>
      </c>
      <c r="J32" s="27">
        <v>84614546.81</v>
      </c>
      <c r="K32" s="27">
        <v>16922909.36</v>
      </c>
      <c r="L32" s="27">
        <v>66691637.44</v>
      </c>
      <c r="M32" s="13">
        <v>0.3234</v>
      </c>
      <c r="N32" s="25">
        <v>429398</v>
      </c>
      <c r="O32" s="27">
        <v>128819400</v>
      </c>
      <c r="P32" s="27">
        <v>1275503422.72</v>
      </c>
      <c r="Q32" s="27">
        <v>997402738.1799999</v>
      </c>
    </row>
    <row r="33" spans="2:17">
      <c r="B33" s="28" t="s">
        <v>236</v>
      </c>
      <c r="C33" s="29">
        <v>23</v>
      </c>
      <c r="D33" s="29">
        <v>1343177</v>
      </c>
      <c r="E33" s="30">
        <v>0.188</v>
      </c>
      <c r="F33" s="29">
        <v>265453</v>
      </c>
      <c r="G33" s="31">
        <v>1.051</v>
      </c>
      <c r="H33" s="29">
        <v>0</v>
      </c>
      <c r="I33" s="32">
        <v>330.15</v>
      </c>
      <c r="J33" s="32">
        <v>87639825.91</v>
      </c>
      <c r="K33" s="32">
        <v>17527965.18</v>
      </c>
      <c r="L33" s="32">
        <v>69111860.73</v>
      </c>
      <c r="M33" s="30">
        <v>0.3219</v>
      </c>
      <c r="N33" s="29">
        <v>432334</v>
      </c>
      <c r="O33" s="32">
        <v>129700200</v>
      </c>
      <c r="P33" s="32">
        <v>1363143248.64</v>
      </c>
      <c r="Q33" s="32">
        <v>1066514598.91</v>
      </c>
    </row>
    <row r="34" spans="2:17">
      <c r="B34" t="s">
        <v>237</v>
      </c>
      <c r="C34" s="25">
        <v>24</v>
      </c>
      <c r="D34" s="25">
        <v>1358522</v>
      </c>
      <c r="E34" s="13">
        <v>0.1923</v>
      </c>
      <c r="F34" s="25">
        <v>275217</v>
      </c>
      <c r="G34" s="26">
        <v>1.053</v>
      </c>
      <c r="H34" s="25">
        <v>0</v>
      </c>
      <c r="I34" s="14">
        <v>329.31</v>
      </c>
      <c r="J34" s="27">
        <v>90633086.36</v>
      </c>
      <c r="K34" s="27">
        <v>18126617.27</v>
      </c>
      <c r="L34" s="27">
        <v>71506469.08</v>
      </c>
      <c r="M34" s="13">
        <v>0.3204</v>
      </c>
      <c r="N34" s="25">
        <v>435208</v>
      </c>
      <c r="O34" s="27">
        <v>130562400</v>
      </c>
      <c r="P34" s="27">
        <v>1453776334.99</v>
      </c>
      <c r="Q34" s="27">
        <v>1138021067.99</v>
      </c>
    </row>
    <row r="35" spans="2:17">
      <c r="B35" s="28" t="s">
        <v>238</v>
      </c>
      <c r="C35" s="29">
        <v>25</v>
      </c>
      <c r="D35" s="29">
        <v>1373619</v>
      </c>
      <c r="E35" s="30">
        <v>0.1965</v>
      </c>
      <c r="F35" s="29">
        <v>284888</v>
      </c>
      <c r="G35" s="31">
        <v>1.056</v>
      </c>
      <c r="H35" s="29">
        <v>0</v>
      </c>
      <c r="I35" s="32">
        <v>328.48</v>
      </c>
      <c r="J35" s="32">
        <v>93580058.8</v>
      </c>
      <c r="K35" s="32">
        <v>18716011.76</v>
      </c>
      <c r="L35" s="32">
        <v>73864047.04000001</v>
      </c>
      <c r="M35" s="30">
        <v>0.3189</v>
      </c>
      <c r="N35" s="29">
        <v>438030</v>
      </c>
      <c r="O35" s="32">
        <v>131409000</v>
      </c>
      <c r="P35" s="32">
        <v>1547356393.8</v>
      </c>
      <c r="Q35" s="32">
        <v>1211885115.04</v>
      </c>
    </row>
    <row r="36" spans="2:17">
      <c r="B36" t="s">
        <v>239</v>
      </c>
      <c r="C36" s="25">
        <v>26</v>
      </c>
      <c r="D36" s="25">
        <v>1388454</v>
      </c>
      <c r="E36" s="13">
        <v>0.2005</v>
      </c>
      <c r="F36" s="25">
        <v>294428</v>
      </c>
      <c r="G36" s="26">
        <v>1.058</v>
      </c>
      <c r="H36" s="25">
        <v>0</v>
      </c>
      <c r="I36" s="14">
        <v>327.65</v>
      </c>
      <c r="J36" s="27">
        <v>96468585.55</v>
      </c>
      <c r="K36" s="27">
        <v>19293717.11</v>
      </c>
      <c r="L36" s="27">
        <v>76174868.44</v>
      </c>
      <c r="M36" s="13">
        <v>0.3175</v>
      </c>
      <c r="N36" s="25">
        <v>440806</v>
      </c>
      <c r="O36" s="27">
        <v>132241800</v>
      </c>
      <c r="P36" s="27">
        <v>1643824979.34</v>
      </c>
      <c r="Q36" s="27">
        <v>1288059983.48</v>
      </c>
    </row>
    <row r="37" spans="2:17">
      <c r="B37" s="28" t="s">
        <v>240</v>
      </c>
      <c r="C37" s="29">
        <v>27</v>
      </c>
      <c r="D37" s="29">
        <v>1403016</v>
      </c>
      <c r="E37" s="30">
        <v>0.2043</v>
      </c>
      <c r="F37" s="29">
        <v>303804</v>
      </c>
      <c r="G37" s="31">
        <v>1.06</v>
      </c>
      <c r="H37" s="29">
        <v>0</v>
      </c>
      <c r="I37" s="32">
        <v>326.82</v>
      </c>
      <c r="J37" s="32">
        <v>99288267.83</v>
      </c>
      <c r="K37" s="32">
        <v>19857653.57</v>
      </c>
      <c r="L37" s="32">
        <v>78430614.26000001</v>
      </c>
      <c r="M37" s="30">
        <v>0.3161</v>
      </c>
      <c r="N37" s="29">
        <v>443544</v>
      </c>
      <c r="O37" s="32">
        <v>133063200</v>
      </c>
      <c r="P37" s="32">
        <v>1743113247.17</v>
      </c>
      <c r="Q37" s="32">
        <v>1366490597.74</v>
      </c>
    </row>
    <row r="38" spans="2:17">
      <c r="B38" t="s">
        <v>241</v>
      </c>
      <c r="C38" s="25">
        <v>28</v>
      </c>
      <c r="D38" s="25">
        <v>1417293</v>
      </c>
      <c r="E38" s="13">
        <v>0.2079</v>
      </c>
      <c r="F38" s="25">
        <v>312984</v>
      </c>
      <c r="G38" s="26">
        <v>1.062</v>
      </c>
      <c r="H38" s="25">
        <v>0</v>
      </c>
      <c r="I38" s="14">
        <v>325.99</v>
      </c>
      <c r="J38" s="27">
        <v>102029140.37</v>
      </c>
      <c r="K38" s="27">
        <v>20405828.07</v>
      </c>
      <c r="L38" s="27">
        <v>80623312.3</v>
      </c>
      <c r="M38" s="13">
        <v>0.3149</v>
      </c>
      <c r="N38" s="25">
        <v>446248</v>
      </c>
      <c r="O38" s="27">
        <v>133874400</v>
      </c>
      <c r="P38" s="27">
        <v>1845142387.54</v>
      </c>
      <c r="Q38" s="27">
        <v>1447113910.03</v>
      </c>
    </row>
    <row r="39" spans="2:17">
      <c r="B39" s="28" t="s">
        <v>242</v>
      </c>
      <c r="C39" s="29">
        <v>29</v>
      </c>
      <c r="D39" s="29">
        <v>1431272</v>
      </c>
      <c r="E39" s="30">
        <v>0.2113</v>
      </c>
      <c r="F39" s="29">
        <v>321943</v>
      </c>
      <c r="G39" s="31">
        <v>1.064</v>
      </c>
      <c r="H39" s="29">
        <v>0</v>
      </c>
      <c r="I39" s="32">
        <v>325.16</v>
      </c>
      <c r="J39" s="32">
        <v>104683617.56</v>
      </c>
      <c r="K39" s="32">
        <v>20936723.51</v>
      </c>
      <c r="L39" s="32">
        <v>82746894.05</v>
      </c>
      <c r="M39" s="30">
        <v>0.3137</v>
      </c>
      <c r="N39" s="29">
        <v>448922</v>
      </c>
      <c r="O39" s="32">
        <v>134676600</v>
      </c>
      <c r="P39" s="32">
        <v>1949826005.1</v>
      </c>
      <c r="Q39" s="32">
        <v>1529860804.08</v>
      </c>
    </row>
    <row r="40" spans="2:17">
      <c r="B40" t="s">
        <v>243</v>
      </c>
      <c r="C40" s="25">
        <v>30</v>
      </c>
      <c r="D40" s="25">
        <v>1444943</v>
      </c>
      <c r="E40" s="13">
        <v>0.2145</v>
      </c>
      <c r="F40" s="25">
        <v>330659</v>
      </c>
      <c r="G40" s="26">
        <v>1.067</v>
      </c>
      <c r="H40" s="25">
        <v>0</v>
      </c>
      <c r="I40" s="14">
        <v>324.34</v>
      </c>
      <c r="J40" s="27">
        <v>107245166.55</v>
      </c>
      <c r="K40" s="27">
        <v>21449033.31</v>
      </c>
      <c r="L40" s="27">
        <v>84796133.23999999</v>
      </c>
      <c r="M40" s="13">
        <v>0.3125</v>
      </c>
      <c r="N40" s="25">
        <v>451568</v>
      </c>
      <c r="O40" s="27">
        <v>135470400</v>
      </c>
      <c r="P40" s="27">
        <v>2057071171.65</v>
      </c>
      <c r="Q40" s="27">
        <v>1614656937.32</v>
      </c>
    </row>
    <row r="41" spans="2:17">
      <c r="B41" s="28" t="s">
        <v>244</v>
      </c>
      <c r="C41" s="29">
        <v>31</v>
      </c>
      <c r="D41" s="29">
        <v>1458294</v>
      </c>
      <c r="E41" s="30">
        <v>0.2176</v>
      </c>
      <c r="F41" s="29">
        <v>339112</v>
      </c>
      <c r="G41" s="31">
        <v>1.069</v>
      </c>
      <c r="H41" s="29">
        <v>0</v>
      </c>
      <c r="I41" s="32">
        <v>323.52</v>
      </c>
      <c r="J41" s="32">
        <v>109707970.93</v>
      </c>
      <c r="K41" s="32">
        <v>21941594.19</v>
      </c>
      <c r="L41" s="32">
        <v>86766376.73999999</v>
      </c>
      <c r="M41" s="30">
        <v>0.3115</v>
      </c>
      <c r="N41" s="29">
        <v>454187</v>
      </c>
      <c r="O41" s="32">
        <v>136256100</v>
      </c>
      <c r="P41" s="32">
        <v>2166779142.58</v>
      </c>
      <c r="Q41" s="32">
        <v>1701423314.06</v>
      </c>
    </row>
    <row r="42" spans="2:17">
      <c r="B42" t="s">
        <v>245</v>
      </c>
      <c r="C42" s="25">
        <v>32</v>
      </c>
      <c r="D42" s="25">
        <v>1471312</v>
      </c>
      <c r="E42" s="13">
        <v>0.2204</v>
      </c>
      <c r="F42" s="25">
        <v>347291</v>
      </c>
      <c r="G42" s="26">
        <v>1.071</v>
      </c>
      <c r="H42" s="25">
        <v>0</v>
      </c>
      <c r="I42" s="14">
        <v>322.7</v>
      </c>
      <c r="J42" s="27">
        <v>112069180.92</v>
      </c>
      <c r="K42" s="27">
        <v>22413836.18</v>
      </c>
      <c r="L42" s="27">
        <v>88655344.73999999</v>
      </c>
      <c r="M42" s="13">
        <v>0.3105</v>
      </c>
      <c r="N42" s="25">
        <v>456779</v>
      </c>
      <c r="O42" s="27">
        <v>137033700</v>
      </c>
      <c r="P42" s="27">
        <v>2278848323.5</v>
      </c>
      <c r="Q42" s="27">
        <v>1790078658.8</v>
      </c>
    </row>
    <row r="43" spans="2:17">
      <c r="B43" s="28" t="s">
        <v>246</v>
      </c>
      <c r="C43" s="29">
        <v>33</v>
      </c>
      <c r="D43" s="29">
        <v>1483988</v>
      </c>
      <c r="E43" s="30">
        <v>0.223</v>
      </c>
      <c r="F43" s="29">
        <v>355184</v>
      </c>
      <c r="G43" s="31">
        <v>1.073</v>
      </c>
      <c r="H43" s="29">
        <v>0</v>
      </c>
      <c r="I43" s="32">
        <v>321.88</v>
      </c>
      <c r="J43" s="32">
        <v>114325657.42</v>
      </c>
      <c r="K43" s="32">
        <v>22865131.48</v>
      </c>
      <c r="L43" s="32">
        <v>90460525.94</v>
      </c>
      <c r="M43" s="30">
        <v>0.3095</v>
      </c>
      <c r="N43" s="29">
        <v>459341</v>
      </c>
      <c r="O43" s="32">
        <v>137802300</v>
      </c>
      <c r="P43" s="32">
        <v>2393173980.92</v>
      </c>
      <c r="Q43" s="32">
        <v>1880539184.74</v>
      </c>
    </row>
    <row r="44" spans="2:17">
      <c r="B44" t="s">
        <v>247</v>
      </c>
      <c r="C44" s="25">
        <v>34</v>
      </c>
      <c r="D44" s="25">
        <v>1496310</v>
      </c>
      <c r="E44" s="13">
        <v>0.2254</v>
      </c>
      <c r="F44" s="25">
        <v>362784</v>
      </c>
      <c r="G44" s="26">
        <v>1.076</v>
      </c>
      <c r="H44" s="25">
        <v>0</v>
      </c>
      <c r="I44" s="14">
        <v>321.06</v>
      </c>
      <c r="J44" s="27">
        <v>116475902.19</v>
      </c>
      <c r="K44" s="27">
        <v>23295180.44</v>
      </c>
      <c r="L44" s="27">
        <v>92180721.75</v>
      </c>
      <c r="M44" s="13">
        <v>0.3087</v>
      </c>
      <c r="N44" s="25">
        <v>461872</v>
      </c>
      <c r="O44" s="27">
        <v>138561600</v>
      </c>
      <c r="P44" s="27">
        <v>2509649883.11</v>
      </c>
      <c r="Q44" s="27">
        <v>1972719906.49</v>
      </c>
    </row>
    <row r="45" spans="2:17">
      <c r="B45" s="28" t="s">
        <v>248</v>
      </c>
      <c r="C45" s="29">
        <v>35</v>
      </c>
      <c r="D45" s="29">
        <v>1508268</v>
      </c>
      <c r="E45" s="30">
        <v>0.2277</v>
      </c>
      <c r="F45" s="29">
        <v>370089</v>
      </c>
      <c r="G45" s="31">
        <v>1.078</v>
      </c>
      <c r="H45" s="29">
        <v>0</v>
      </c>
      <c r="I45" s="32">
        <v>320.25</v>
      </c>
      <c r="J45" s="32">
        <v>118520037.32</v>
      </c>
      <c r="K45" s="32">
        <v>23704007.46</v>
      </c>
      <c r="L45" s="32">
        <v>93816029.86</v>
      </c>
      <c r="M45" s="30">
        <v>0.3079</v>
      </c>
      <c r="N45" s="29">
        <v>464368</v>
      </c>
      <c r="O45" s="32">
        <v>139310400</v>
      </c>
      <c r="P45" s="32">
        <v>2628169920.43</v>
      </c>
      <c r="Q45" s="32">
        <v>2066535936.35</v>
      </c>
    </row>
    <row r="46" spans="2:17">
      <c r="B46" t="s">
        <v>249</v>
      </c>
      <c r="C46" s="25">
        <v>36</v>
      </c>
      <c r="D46" s="25">
        <v>1519850</v>
      </c>
      <c r="E46" s="13">
        <v>0.2297</v>
      </c>
      <c r="F46" s="25">
        <v>377096</v>
      </c>
      <c r="G46" s="26">
        <v>1.08</v>
      </c>
      <c r="H46" s="25">
        <v>0</v>
      </c>
      <c r="I46" s="14">
        <v>319.44</v>
      </c>
      <c r="J46" s="27">
        <v>120457868.16</v>
      </c>
      <c r="K46" s="27">
        <v>24091573.63</v>
      </c>
      <c r="L46" s="27">
        <v>95366294.53</v>
      </c>
      <c r="M46" s="13">
        <v>0.3072</v>
      </c>
      <c r="N46" s="25">
        <v>466825</v>
      </c>
      <c r="O46" s="27">
        <v>140047500</v>
      </c>
      <c r="P46" s="27">
        <v>2748627788.6</v>
      </c>
      <c r="Q46" s="27">
        <v>2161902230.88</v>
      </c>
    </row>
    <row r="47" spans="2:17">
      <c r="B47" s="28" t="s">
        <v>250</v>
      </c>
      <c r="C47" s="29">
        <v>37</v>
      </c>
      <c r="D47" s="29">
        <v>1531047</v>
      </c>
      <c r="E47" s="30">
        <v>0.2316</v>
      </c>
      <c r="F47" s="29">
        <v>383017</v>
      </c>
      <c r="G47" s="31">
        <v>1.08</v>
      </c>
      <c r="H47" s="29">
        <v>0</v>
      </c>
      <c r="I47" s="32">
        <v>318.63</v>
      </c>
      <c r="J47" s="32">
        <v>122039084.77</v>
      </c>
      <c r="K47" s="32">
        <v>24407816.95</v>
      </c>
      <c r="L47" s="32">
        <v>96631267.81</v>
      </c>
      <c r="M47" s="30">
        <v>0.3065</v>
      </c>
      <c r="N47" s="29">
        <v>469237</v>
      </c>
      <c r="O47" s="32">
        <v>140771100</v>
      </c>
      <c r="P47" s="32">
        <v>2870666873.36</v>
      </c>
      <c r="Q47" s="32">
        <v>2258533498.69</v>
      </c>
    </row>
    <row r="48" spans="2:17">
      <c r="B48" t="s">
        <v>251</v>
      </c>
      <c r="C48" s="25">
        <v>38</v>
      </c>
      <c r="D48" s="25">
        <v>1541849</v>
      </c>
      <c r="E48" s="13">
        <v>0.2334</v>
      </c>
      <c r="F48" s="25">
        <v>388620</v>
      </c>
      <c r="G48" s="26">
        <v>1.08</v>
      </c>
      <c r="H48" s="25">
        <v>0</v>
      </c>
      <c r="I48" s="14">
        <v>317.82</v>
      </c>
      <c r="J48" s="27">
        <v>123510444.2</v>
      </c>
      <c r="K48" s="27">
        <v>24702088.84</v>
      </c>
      <c r="L48" s="27">
        <v>97808355.36</v>
      </c>
      <c r="M48" s="13">
        <v>0.3059</v>
      </c>
      <c r="N48" s="25">
        <v>471599</v>
      </c>
      <c r="O48" s="27">
        <v>141479700</v>
      </c>
      <c r="P48" s="27">
        <v>2994177317.56</v>
      </c>
      <c r="Q48" s="27">
        <v>2356341854.05</v>
      </c>
    </row>
    <row r="49" spans="2:17">
      <c r="B49" s="28" t="s">
        <v>252</v>
      </c>
      <c r="C49" s="29">
        <v>39</v>
      </c>
      <c r="D49" s="29">
        <v>1552247</v>
      </c>
      <c r="E49" s="30">
        <v>0.235</v>
      </c>
      <c r="F49" s="29">
        <v>393912</v>
      </c>
      <c r="G49" s="31">
        <v>1.08</v>
      </c>
      <c r="H49" s="29">
        <v>0</v>
      </c>
      <c r="I49" s="32">
        <v>317.01</v>
      </c>
      <c r="J49" s="32">
        <v>124874968.57</v>
      </c>
      <c r="K49" s="32">
        <v>24974993.71</v>
      </c>
      <c r="L49" s="32">
        <v>98899974.86</v>
      </c>
      <c r="M49" s="30">
        <v>0.3053</v>
      </c>
      <c r="N49" s="29">
        <v>473907</v>
      </c>
      <c r="O49" s="32">
        <v>142172100</v>
      </c>
      <c r="P49" s="32">
        <v>3119052286.13</v>
      </c>
      <c r="Q49" s="32">
        <v>2455241828.9</v>
      </c>
    </row>
    <row r="50" spans="2:17">
      <c r="B50" t="s">
        <v>253</v>
      </c>
      <c r="C50" s="25">
        <v>40</v>
      </c>
      <c r="D50" s="25">
        <v>1562230</v>
      </c>
      <c r="E50" s="13">
        <v>0.2364</v>
      </c>
      <c r="F50" s="25">
        <v>398900</v>
      </c>
      <c r="G50" s="26">
        <v>1.08</v>
      </c>
      <c r="H50" s="25">
        <v>0</v>
      </c>
      <c r="I50" s="14">
        <v>316.21</v>
      </c>
      <c r="J50" s="27">
        <v>126135653.49</v>
      </c>
      <c r="K50" s="27">
        <v>25227130.7</v>
      </c>
      <c r="L50" s="27">
        <v>99908522.79000001</v>
      </c>
      <c r="M50" s="13">
        <v>0.3048</v>
      </c>
      <c r="N50" s="25">
        <v>476153</v>
      </c>
      <c r="O50" s="27">
        <v>142845900</v>
      </c>
      <c r="P50" s="27">
        <v>3245187939.62</v>
      </c>
      <c r="Q50" s="27">
        <v>2555150351.69</v>
      </c>
    </row>
    <row r="51" spans="2:17">
      <c r="B51" s="28" t="s">
        <v>254</v>
      </c>
      <c r="C51" s="29">
        <v>41</v>
      </c>
      <c r="D51" s="29">
        <v>1571791</v>
      </c>
      <c r="E51" s="30">
        <v>0.2378</v>
      </c>
      <c r="F51" s="29">
        <v>403589</v>
      </c>
      <c r="G51" s="31">
        <v>1.08</v>
      </c>
      <c r="H51" s="29">
        <v>0</v>
      </c>
      <c r="I51" s="32">
        <v>315.41</v>
      </c>
      <c r="J51" s="32">
        <v>127294837.38</v>
      </c>
      <c r="K51" s="32">
        <v>25458967.48</v>
      </c>
      <c r="L51" s="32">
        <v>100835869.9</v>
      </c>
      <c r="M51" s="30">
        <v>0.3043</v>
      </c>
      <c r="N51" s="29">
        <v>478332</v>
      </c>
      <c r="O51" s="32">
        <v>143499600</v>
      </c>
      <c r="P51" s="32">
        <v>3372482777</v>
      </c>
      <c r="Q51" s="32">
        <v>2655986221.6</v>
      </c>
    </row>
    <row r="52" spans="2:17">
      <c r="B52" t="s">
        <v>255</v>
      </c>
      <c r="C52" s="25">
        <v>42</v>
      </c>
      <c r="D52" s="25">
        <v>1580920</v>
      </c>
      <c r="E52" s="13">
        <v>0.239</v>
      </c>
      <c r="F52" s="25">
        <v>407990</v>
      </c>
      <c r="G52" s="26">
        <v>1.08</v>
      </c>
      <c r="H52" s="25">
        <v>0</v>
      </c>
      <c r="I52" s="14">
        <v>314.61</v>
      </c>
      <c r="J52" s="27">
        <v>128356726.52</v>
      </c>
      <c r="K52" s="27">
        <v>25671345.3</v>
      </c>
      <c r="L52" s="27">
        <v>101685381.22</v>
      </c>
      <c r="M52" s="13">
        <v>0.3039</v>
      </c>
      <c r="N52" s="25">
        <v>480438</v>
      </c>
      <c r="O52" s="27">
        <v>144131400</v>
      </c>
      <c r="P52" s="27">
        <v>3500839503.52</v>
      </c>
      <c r="Q52" s="27">
        <v>2757671602.82</v>
      </c>
    </row>
    <row r="53" spans="2:17">
      <c r="B53" s="28" t="s">
        <v>256</v>
      </c>
      <c r="C53" s="29">
        <v>43</v>
      </c>
      <c r="D53" s="29">
        <v>1589609</v>
      </c>
      <c r="E53" s="30">
        <v>0.24</v>
      </c>
      <c r="F53" s="29">
        <v>412109</v>
      </c>
      <c r="G53" s="31">
        <v>1.08</v>
      </c>
      <c r="H53" s="29">
        <v>0</v>
      </c>
      <c r="I53" s="32">
        <v>313.81</v>
      </c>
      <c r="J53" s="32">
        <v>129323919.31</v>
      </c>
      <c r="K53" s="32">
        <v>25864783.86</v>
      </c>
      <c r="L53" s="32">
        <v>102459135.45</v>
      </c>
      <c r="M53" s="30">
        <v>0.3035</v>
      </c>
      <c r="N53" s="29">
        <v>482465</v>
      </c>
      <c r="O53" s="32">
        <v>144739500</v>
      </c>
      <c r="P53" s="32">
        <v>3630163422.83</v>
      </c>
      <c r="Q53" s="32">
        <v>2860130738.27</v>
      </c>
    </row>
    <row r="54" spans="2:17">
      <c r="B54" t="s">
        <v>257</v>
      </c>
      <c r="C54" s="25">
        <v>44</v>
      </c>
      <c r="D54" s="25">
        <v>1597850</v>
      </c>
      <c r="E54" s="13">
        <v>0.241</v>
      </c>
      <c r="F54" s="25">
        <v>415956</v>
      </c>
      <c r="G54" s="26">
        <v>1.08</v>
      </c>
      <c r="H54" s="25">
        <v>0</v>
      </c>
      <c r="I54" s="14">
        <v>313.01</v>
      </c>
      <c r="J54" s="27">
        <v>130200243.52</v>
      </c>
      <c r="K54" s="27">
        <v>26040048.7</v>
      </c>
      <c r="L54" s="27">
        <v>103160194.82</v>
      </c>
      <c r="M54" s="13">
        <v>0.3032</v>
      </c>
      <c r="N54" s="25">
        <v>484407</v>
      </c>
      <c r="O54" s="27">
        <v>145322100</v>
      </c>
      <c r="P54" s="27">
        <v>3760363666.36</v>
      </c>
      <c r="Q54" s="27">
        <v>2963290933.09</v>
      </c>
    </row>
    <row r="55" spans="2:17">
      <c r="B55" s="28" t="s">
        <v>258</v>
      </c>
      <c r="C55" s="29">
        <v>45</v>
      </c>
      <c r="D55" s="29">
        <v>1605636</v>
      </c>
      <c r="E55" s="30">
        <v>0.2419</v>
      </c>
      <c r="F55" s="29">
        <v>419540</v>
      </c>
      <c r="G55" s="31">
        <v>1.08</v>
      </c>
      <c r="H55" s="29">
        <v>0</v>
      </c>
      <c r="I55" s="32">
        <v>312.22</v>
      </c>
      <c r="J55" s="32">
        <v>130989179.48</v>
      </c>
      <c r="K55" s="32">
        <v>26197835.9</v>
      </c>
      <c r="L55" s="32">
        <v>103791343.58</v>
      </c>
      <c r="M55" s="30">
        <v>0.3028</v>
      </c>
      <c r="N55" s="29">
        <v>486259</v>
      </c>
      <c r="O55" s="32">
        <v>145877700</v>
      </c>
      <c r="P55" s="32">
        <v>3891352845.84</v>
      </c>
      <c r="Q55" s="32">
        <v>3067082276.67</v>
      </c>
    </row>
    <row r="56" spans="2:17">
      <c r="B56" t="s">
        <v>259</v>
      </c>
      <c r="C56" s="25">
        <v>46</v>
      </c>
      <c r="D56" s="25">
        <v>1612959</v>
      </c>
      <c r="E56" s="13">
        <v>0.2427</v>
      </c>
      <c r="F56" s="25">
        <v>422867</v>
      </c>
      <c r="G56" s="26">
        <v>1.08</v>
      </c>
      <c r="H56" s="25">
        <v>0</v>
      </c>
      <c r="I56" s="14">
        <v>311.43</v>
      </c>
      <c r="J56" s="27">
        <v>131693241.36</v>
      </c>
      <c r="K56" s="27">
        <v>26338648.27</v>
      </c>
      <c r="L56" s="27">
        <v>104354593.08</v>
      </c>
      <c r="M56" s="13">
        <v>0.3026</v>
      </c>
      <c r="N56" s="25">
        <v>488015</v>
      </c>
      <c r="O56" s="27">
        <v>146404500</v>
      </c>
      <c r="P56" s="27">
        <v>4023046087.19</v>
      </c>
      <c r="Q56" s="27">
        <v>3171436869.76</v>
      </c>
    </row>
    <row r="57" spans="2:17">
      <c r="B57" s="28" t="s">
        <v>260</v>
      </c>
      <c r="C57" s="29">
        <v>47</v>
      </c>
      <c r="D57" s="29">
        <v>1619812</v>
      </c>
      <c r="E57" s="30">
        <v>0.2435</v>
      </c>
      <c r="F57" s="29">
        <v>425946</v>
      </c>
      <c r="G57" s="31">
        <v>1.08</v>
      </c>
      <c r="H57" s="29">
        <v>0</v>
      </c>
      <c r="I57" s="32">
        <v>310.64</v>
      </c>
      <c r="J57" s="32">
        <v>132315853.06</v>
      </c>
      <c r="K57" s="32">
        <v>26463170.61</v>
      </c>
      <c r="L57" s="32">
        <v>104852682.45</v>
      </c>
      <c r="M57" s="30">
        <v>0.3023</v>
      </c>
      <c r="N57" s="29">
        <v>489669</v>
      </c>
      <c r="O57" s="32">
        <v>146900700</v>
      </c>
      <c r="P57" s="32">
        <v>4155361940.25</v>
      </c>
      <c r="Q57" s="32">
        <v>3276289552.2</v>
      </c>
    </row>
    <row r="58" spans="2:17">
      <c r="B58" t="s">
        <v>261</v>
      </c>
      <c r="C58" s="25">
        <v>48</v>
      </c>
      <c r="D58" s="25">
        <v>1626190</v>
      </c>
      <c r="E58" s="13">
        <v>0.2441</v>
      </c>
      <c r="F58" s="25">
        <v>428787</v>
      </c>
      <c r="G58" s="26">
        <v>1.08</v>
      </c>
      <c r="H58" s="25">
        <v>0</v>
      </c>
      <c r="I58" s="14">
        <v>309.85</v>
      </c>
      <c r="J58" s="27">
        <v>132860716.84</v>
      </c>
      <c r="K58" s="27">
        <v>26572143.37</v>
      </c>
      <c r="L58" s="27">
        <v>105288573.47</v>
      </c>
      <c r="M58" s="13">
        <v>0.3021</v>
      </c>
      <c r="N58" s="25">
        <v>491217</v>
      </c>
      <c r="O58" s="27">
        <v>147365100</v>
      </c>
      <c r="P58" s="27">
        <v>4288222657.09</v>
      </c>
      <c r="Q58" s="27">
        <v>3381578125.68</v>
      </c>
    </row>
    <row r="59" spans="2:17">
      <c r="B59" s="28" t="s">
        <v>262</v>
      </c>
      <c r="C59" s="29">
        <v>49</v>
      </c>
      <c r="D59" s="29">
        <v>1632087</v>
      </c>
      <c r="E59" s="30">
        <v>0.2447</v>
      </c>
      <c r="F59" s="29">
        <v>431393</v>
      </c>
      <c r="G59" s="31">
        <v>1.08</v>
      </c>
      <c r="H59" s="29">
        <v>0</v>
      </c>
      <c r="I59" s="32">
        <v>309.07</v>
      </c>
      <c r="J59" s="32">
        <v>133329337.05</v>
      </c>
      <c r="K59" s="32">
        <v>26665867.41</v>
      </c>
      <c r="L59" s="32">
        <v>105663469.64</v>
      </c>
      <c r="M59" s="30">
        <v>0.3019</v>
      </c>
      <c r="N59" s="29">
        <v>492655</v>
      </c>
      <c r="O59" s="32">
        <v>147796500</v>
      </c>
      <c r="P59" s="32">
        <v>4421551994.14</v>
      </c>
      <c r="Q59" s="32">
        <v>3487241595.31</v>
      </c>
    </row>
    <row r="60" spans="2:17">
      <c r="B60" t="s">
        <v>263</v>
      </c>
      <c r="C60" s="25">
        <v>50</v>
      </c>
      <c r="D60" s="25">
        <v>1637496</v>
      </c>
      <c r="E60" s="13">
        <v>0.2453</v>
      </c>
      <c r="F60" s="25">
        <v>433773</v>
      </c>
      <c r="G60" s="26">
        <v>1.08</v>
      </c>
      <c r="H60" s="25">
        <v>0</v>
      </c>
      <c r="I60" s="14">
        <v>308.28</v>
      </c>
      <c r="J60" s="27">
        <v>133725055.41</v>
      </c>
      <c r="K60" s="27">
        <v>26745011.08</v>
      </c>
      <c r="L60" s="27">
        <v>105980044.33</v>
      </c>
      <c r="M60" s="13">
        <v>0.3017</v>
      </c>
      <c r="N60" s="25">
        <v>493977</v>
      </c>
      <c r="O60" s="27">
        <v>148193100</v>
      </c>
      <c r="P60" s="27">
        <v>4555277049.55</v>
      </c>
      <c r="Q60" s="27">
        <v>3593221639.64</v>
      </c>
    </row>
    <row r="61" spans="2:17">
      <c r="B61" s="28" t="s">
        <v>264</v>
      </c>
      <c r="C61" s="29">
        <v>51</v>
      </c>
      <c r="D61" s="29">
        <v>1642413</v>
      </c>
      <c r="E61" s="30">
        <v>0.2458</v>
      </c>
      <c r="F61" s="29">
        <v>435935</v>
      </c>
      <c r="G61" s="31">
        <v>1.08</v>
      </c>
      <c r="H61" s="29">
        <v>0</v>
      </c>
      <c r="I61" s="32">
        <v>307.5</v>
      </c>
      <c r="J61" s="32">
        <v>134050875.17</v>
      </c>
      <c r="K61" s="32">
        <v>26810175.03</v>
      </c>
      <c r="L61" s="32">
        <v>106240700.14</v>
      </c>
      <c r="M61" s="30">
        <v>0.3015</v>
      </c>
      <c r="N61" s="29">
        <v>495180</v>
      </c>
      <c r="O61" s="32">
        <v>148554000</v>
      </c>
      <c r="P61" s="32">
        <v>4689327924.72</v>
      </c>
      <c r="Q61" s="32">
        <v>3699462339.78</v>
      </c>
    </row>
    <row r="62" spans="2:17">
      <c r="B62" t="s">
        <v>265</v>
      </c>
      <c r="C62" s="25">
        <v>52</v>
      </c>
      <c r="D62" s="25">
        <v>1646832</v>
      </c>
      <c r="E62" s="13">
        <v>0.2462</v>
      </c>
      <c r="F62" s="25">
        <v>437882</v>
      </c>
      <c r="G62" s="26">
        <v>1.08</v>
      </c>
      <c r="H62" s="25">
        <v>0</v>
      </c>
      <c r="I62" s="14">
        <v>306.72</v>
      </c>
      <c r="J62" s="27">
        <v>134308238.29</v>
      </c>
      <c r="K62" s="27">
        <v>26861647.66</v>
      </c>
      <c r="L62" s="27">
        <v>106446590.63</v>
      </c>
      <c r="M62" s="13">
        <v>0.3013</v>
      </c>
      <c r="N62" s="25">
        <v>496259</v>
      </c>
      <c r="O62" s="27">
        <v>148877700</v>
      </c>
      <c r="P62" s="27">
        <v>4823636163.01</v>
      </c>
      <c r="Q62" s="27">
        <v>3805908930.41</v>
      </c>
    </row>
    <row r="63" spans="2:17">
      <c r="B63" s="28" t="s">
        <v>266</v>
      </c>
      <c r="C63" s="29">
        <v>53</v>
      </c>
      <c r="D63" s="29">
        <v>1650751</v>
      </c>
      <c r="E63" s="30">
        <v>0.2466</v>
      </c>
      <c r="F63" s="29">
        <v>439623</v>
      </c>
      <c r="G63" s="31">
        <v>1.08</v>
      </c>
      <c r="H63" s="29">
        <v>0</v>
      </c>
      <c r="I63" s="32">
        <v>305.94</v>
      </c>
      <c r="J63" s="32">
        <v>134500410.43</v>
      </c>
      <c r="K63" s="32">
        <v>26900082.09</v>
      </c>
      <c r="L63" s="32">
        <v>106600328.34</v>
      </c>
      <c r="M63" s="30">
        <v>0.3012</v>
      </c>
      <c r="N63" s="29">
        <v>497211</v>
      </c>
      <c r="O63" s="32">
        <v>149163300</v>
      </c>
      <c r="P63" s="32">
        <v>4958136573.44</v>
      </c>
      <c r="Q63" s="32">
        <v>3912509258.76</v>
      </c>
    </row>
    <row r="64" spans="2:17">
      <c r="B64" t="s">
        <v>267</v>
      </c>
      <c r="C64" s="25">
        <v>54</v>
      </c>
      <c r="D64" s="25">
        <v>1654164</v>
      </c>
      <c r="E64" s="13">
        <v>0.2469</v>
      </c>
      <c r="F64" s="25">
        <v>441161</v>
      </c>
      <c r="G64" s="26">
        <v>1.08</v>
      </c>
      <c r="H64" s="25">
        <v>0</v>
      </c>
      <c r="I64" s="14">
        <v>305.17</v>
      </c>
      <c r="J64" s="27">
        <v>134628795.74</v>
      </c>
      <c r="K64" s="27">
        <v>26925759.15</v>
      </c>
      <c r="L64" s="27">
        <v>106703036.59</v>
      </c>
      <c r="M64" s="13">
        <v>0.3011</v>
      </c>
      <c r="N64" s="25">
        <v>498034</v>
      </c>
      <c r="O64" s="27">
        <v>149410200</v>
      </c>
      <c r="P64" s="27">
        <v>5092765369.19</v>
      </c>
      <c r="Q64" s="27">
        <v>4019212295.35</v>
      </c>
    </row>
    <row r="65" spans="2:17">
      <c r="B65" s="28" t="s">
        <v>268</v>
      </c>
      <c r="C65" s="29">
        <v>55</v>
      </c>
      <c r="D65" s="29">
        <v>1657070</v>
      </c>
      <c r="E65" s="30">
        <v>0.2473</v>
      </c>
      <c r="F65" s="29">
        <v>442501</v>
      </c>
      <c r="G65" s="31">
        <v>1.08</v>
      </c>
      <c r="H65" s="29">
        <v>0</v>
      </c>
      <c r="I65" s="32">
        <v>304.4</v>
      </c>
      <c r="J65" s="32">
        <v>134695395.42</v>
      </c>
      <c r="K65" s="32">
        <v>26939079.08</v>
      </c>
      <c r="L65" s="32">
        <v>106756316.34</v>
      </c>
      <c r="M65" s="30">
        <v>0.301</v>
      </c>
      <c r="N65" s="29">
        <v>498724</v>
      </c>
      <c r="O65" s="32">
        <v>149617200</v>
      </c>
      <c r="P65" s="32">
        <v>5227460764.61</v>
      </c>
      <c r="Q65" s="32">
        <v>4125968611.68</v>
      </c>
    </row>
    <row r="66" spans="2:17">
      <c r="B66" t="s">
        <v>269</v>
      </c>
      <c r="C66" s="25">
        <v>56</v>
      </c>
      <c r="D66" s="25">
        <v>1659464</v>
      </c>
      <c r="E66" s="13">
        <v>0.2475</v>
      </c>
      <c r="F66" s="25">
        <v>443651</v>
      </c>
      <c r="G66" s="26">
        <v>1.08</v>
      </c>
      <c r="H66" s="25">
        <v>0</v>
      </c>
      <c r="I66" s="14">
        <v>303.62</v>
      </c>
      <c r="J66" s="27">
        <v>134703103.68</v>
      </c>
      <c r="K66" s="27">
        <v>26940620.74</v>
      </c>
      <c r="L66" s="27">
        <v>106762482.94</v>
      </c>
      <c r="M66" s="13">
        <v>0.3009</v>
      </c>
      <c r="N66" s="25">
        <v>499278</v>
      </c>
      <c r="O66" s="27">
        <v>149783400</v>
      </c>
      <c r="P66" s="27">
        <v>5362163868.28</v>
      </c>
      <c r="Q66" s="27">
        <v>4232731094.63</v>
      </c>
    </row>
    <row r="67" spans="2:17">
      <c r="B67" s="28" t="s">
        <v>270</v>
      </c>
      <c r="C67" s="29">
        <v>57</v>
      </c>
      <c r="D67" s="29">
        <v>1661345</v>
      </c>
      <c r="E67" s="30">
        <v>0.2478</v>
      </c>
      <c r="F67" s="29">
        <v>444611</v>
      </c>
      <c r="G67" s="31">
        <v>1.08</v>
      </c>
      <c r="H67" s="29">
        <v>0</v>
      </c>
      <c r="I67" s="32">
        <v>302.85</v>
      </c>
      <c r="J67" s="32">
        <v>134652364.91</v>
      </c>
      <c r="K67" s="32">
        <v>26930472.98</v>
      </c>
      <c r="L67" s="32">
        <v>106721891.93</v>
      </c>
      <c r="M67" s="30">
        <v>0.3008</v>
      </c>
      <c r="N67" s="29">
        <v>499694</v>
      </c>
      <c r="O67" s="32">
        <v>149908200</v>
      </c>
      <c r="P67" s="32">
        <v>5496816233.19</v>
      </c>
      <c r="Q67" s="32">
        <v>4339452986.56</v>
      </c>
    </row>
    <row r="68" spans="2:17">
      <c r="B68" t="s">
        <v>271</v>
      </c>
      <c r="C68" s="25">
        <v>58</v>
      </c>
      <c r="D68" s="25">
        <v>1662710</v>
      </c>
      <c r="E68" s="13">
        <v>0.248</v>
      </c>
      <c r="F68" s="25">
        <v>445387</v>
      </c>
      <c r="G68" s="26">
        <v>1.08</v>
      </c>
      <c r="H68" s="25">
        <v>0</v>
      </c>
      <c r="I68" s="14">
        <v>302.09</v>
      </c>
      <c r="J68" s="27">
        <v>134545433.81</v>
      </c>
      <c r="K68" s="27">
        <v>26909086.76</v>
      </c>
      <c r="L68" s="27">
        <v>106636347.04</v>
      </c>
      <c r="M68" s="13">
        <v>0.3007</v>
      </c>
      <c r="N68" s="25">
        <v>499970</v>
      </c>
      <c r="O68" s="27">
        <v>149991000</v>
      </c>
      <c r="P68" s="27">
        <v>5631361667</v>
      </c>
      <c r="Q68" s="27">
        <v>4446089333.6</v>
      </c>
    </row>
    <row r="69" spans="2:17">
      <c r="B69" s="28" t="s">
        <v>272</v>
      </c>
      <c r="C69" s="29">
        <v>59</v>
      </c>
      <c r="D69" s="29">
        <v>1663559</v>
      </c>
      <c r="E69" s="30">
        <v>0.2482</v>
      </c>
      <c r="F69" s="29">
        <v>445983</v>
      </c>
      <c r="G69" s="31">
        <v>1.08</v>
      </c>
      <c r="H69" s="29">
        <v>0</v>
      </c>
      <c r="I69" s="32">
        <v>301.32</v>
      </c>
      <c r="J69" s="32">
        <v>134383941.77</v>
      </c>
      <c r="K69" s="32">
        <v>26876788.35</v>
      </c>
      <c r="L69" s="32">
        <v>106507153.42</v>
      </c>
      <c r="M69" s="30">
        <v>0.3006</v>
      </c>
      <c r="N69" s="29">
        <v>500105</v>
      </c>
      <c r="O69" s="32">
        <v>150031500</v>
      </c>
      <c r="P69" s="32">
        <v>5765745608.77</v>
      </c>
      <c r="Q69" s="32">
        <v>4552596487.02</v>
      </c>
    </row>
  </sheetData>
  <mergeCells count="12">
    <mergeCell ref="B2:M2"/>
    <mergeCell ref="B4:C4"/>
    <mergeCell ref="B5:C5"/>
    <mergeCell ref="D4:E4"/>
    <mergeCell ref="D5:E5"/>
    <mergeCell ref="F4:G4"/>
    <mergeCell ref="F5:G5"/>
    <mergeCell ref="H4:I4"/>
    <mergeCell ref="H5:I5"/>
    <mergeCell ref="J4:K4"/>
    <mergeCell ref="J5:K5"/>
    <mergeCell ref="B7:G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563EB"/>
  </sheetPr>
  <dimension ref="B2:Q69"/>
  <sheetViews>
    <sheetView showGridLines="0" workbookViewId="0"/>
  </sheetViews>
  <sheetFormatPr defaultRowHeight="15"/>
  <cols>
    <col min="1" max="1" width="3.7109375" customWidth="1"/>
    <col min="2" max="2" width="12.7109375" customWidth="1"/>
    <col min="3" max="17" width="15.7109375" customWidth="1"/>
  </cols>
  <sheetData>
    <row r="2" spans="2:17">
      <c r="B2" s="1" t="s">
        <v>273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7">
      <c r="B4" s="18" t="s">
        <v>191</v>
      </c>
      <c r="C4" s="18"/>
      <c r="D4" s="18" t="s">
        <v>192</v>
      </c>
      <c r="E4" s="18"/>
      <c r="F4" s="18" t="s">
        <v>193</v>
      </c>
      <c r="G4" s="18"/>
      <c r="H4" s="18" t="s">
        <v>194</v>
      </c>
      <c r="I4" s="18"/>
      <c r="J4" s="18" t="s">
        <v>196</v>
      </c>
      <c r="K4" s="18"/>
    </row>
    <row r="5" spans="2:17">
      <c r="B5" s="33">
        <v>1065068332.52</v>
      </c>
      <c r="C5" s="33"/>
      <c r="D5" s="33">
        <v>7375786071.809999</v>
      </c>
      <c r="E5" s="33"/>
      <c r="F5" s="34">
        <v>0.3528</v>
      </c>
      <c r="G5" s="34"/>
      <c r="H5" s="21" t="s">
        <v>195</v>
      </c>
      <c r="I5" s="21"/>
      <c r="J5" s="22">
        <v>5840628857.49</v>
      </c>
      <c r="K5" s="22"/>
    </row>
    <row r="7" spans="2:17">
      <c r="B7" s="23" t="s">
        <v>197</v>
      </c>
      <c r="C7" s="23"/>
      <c r="D7" s="23"/>
      <c r="E7" s="23"/>
      <c r="F7" s="23"/>
      <c r="G7" s="23"/>
    </row>
    <row r="9" spans="2:17" ht="35" customHeight="1">
      <c r="B9" s="35" t="s">
        <v>198</v>
      </c>
      <c r="C9" s="35" t="s">
        <v>199</v>
      </c>
      <c r="D9" s="35" t="s">
        <v>200</v>
      </c>
      <c r="E9" s="35" t="s">
        <v>201</v>
      </c>
      <c r="F9" s="35" t="s">
        <v>202</v>
      </c>
      <c r="G9" s="35" t="s">
        <v>203</v>
      </c>
      <c r="H9" s="35" t="s">
        <v>204</v>
      </c>
      <c r="I9" s="35" t="s">
        <v>115</v>
      </c>
      <c r="J9" s="35" t="s">
        <v>205</v>
      </c>
      <c r="K9" s="35" t="s">
        <v>206</v>
      </c>
      <c r="L9" s="35" t="s">
        <v>207</v>
      </c>
      <c r="M9" s="35" t="s">
        <v>208</v>
      </c>
      <c r="N9" s="35" t="s">
        <v>209</v>
      </c>
      <c r="O9" s="35" t="s">
        <v>210</v>
      </c>
      <c r="P9" s="35" t="s">
        <v>211</v>
      </c>
      <c r="Q9" s="35" t="s">
        <v>212</v>
      </c>
    </row>
    <row r="10" spans="2:17">
      <c r="B10" t="s">
        <v>213</v>
      </c>
      <c r="C10" s="25">
        <v>0</v>
      </c>
      <c r="D10" s="25">
        <v>950000</v>
      </c>
      <c r="E10" s="13">
        <v>0.3528</v>
      </c>
      <c r="F10" s="25">
        <v>300000</v>
      </c>
      <c r="G10" s="26">
        <v>1</v>
      </c>
      <c r="H10" s="25">
        <v>35205</v>
      </c>
      <c r="I10" s="14">
        <v>300</v>
      </c>
      <c r="J10" s="27">
        <v>90000000</v>
      </c>
      <c r="K10" s="27">
        <v>18000000</v>
      </c>
      <c r="L10" s="27">
        <v>71000000</v>
      </c>
      <c r="M10" s="13">
        <v>0.1003</v>
      </c>
      <c r="N10" s="25">
        <v>95251</v>
      </c>
      <c r="O10" s="27">
        <v>33337850</v>
      </c>
      <c r="P10" s="27">
        <v>90000000</v>
      </c>
      <c r="Q10" s="27">
        <v>71000000</v>
      </c>
    </row>
    <row r="11" spans="2:17">
      <c r="B11" s="28" t="s">
        <v>214</v>
      </c>
      <c r="C11" s="29">
        <v>1</v>
      </c>
      <c r="D11" s="29">
        <v>967682</v>
      </c>
      <c r="E11" s="30">
        <v>0.3517</v>
      </c>
      <c r="F11" s="29">
        <v>300000</v>
      </c>
      <c r="G11" s="31">
        <v>1.002</v>
      </c>
      <c r="H11" s="29">
        <v>41118</v>
      </c>
      <c r="I11" s="32">
        <v>299.24</v>
      </c>
      <c r="J11" s="32">
        <v>89771845.62</v>
      </c>
      <c r="K11" s="32">
        <v>17954369.12</v>
      </c>
      <c r="L11" s="32">
        <v>70817476.5</v>
      </c>
      <c r="M11" s="30">
        <v>0.1023</v>
      </c>
      <c r="N11" s="29">
        <v>99025</v>
      </c>
      <c r="O11" s="32">
        <v>34658750</v>
      </c>
      <c r="P11" s="32">
        <v>179771845.62</v>
      </c>
      <c r="Q11" s="32">
        <v>141817476.5</v>
      </c>
    </row>
    <row r="12" spans="2:17">
      <c r="B12" t="s">
        <v>215</v>
      </c>
      <c r="C12" s="25">
        <v>2</v>
      </c>
      <c r="D12" s="25">
        <v>985390</v>
      </c>
      <c r="E12" s="13">
        <v>0.3505</v>
      </c>
      <c r="F12" s="25">
        <v>300000</v>
      </c>
      <c r="G12" s="26">
        <v>1.004</v>
      </c>
      <c r="H12" s="25">
        <v>46881</v>
      </c>
      <c r="I12" s="14">
        <v>298.48</v>
      </c>
      <c r="J12" s="27">
        <v>89544269.63</v>
      </c>
      <c r="K12" s="27">
        <v>17908853.93</v>
      </c>
      <c r="L12" s="27">
        <v>70635415.70999999</v>
      </c>
      <c r="M12" s="13">
        <v>0.1046</v>
      </c>
      <c r="N12" s="25">
        <v>103050</v>
      </c>
      <c r="O12" s="27">
        <v>36067500</v>
      </c>
      <c r="P12" s="27">
        <v>269316115.26</v>
      </c>
      <c r="Q12" s="27">
        <v>212452892.21</v>
      </c>
    </row>
    <row r="13" spans="2:17">
      <c r="B13" s="28" t="s">
        <v>216</v>
      </c>
      <c r="C13" s="29">
        <v>3</v>
      </c>
      <c r="D13" s="29">
        <v>1003115</v>
      </c>
      <c r="E13" s="30">
        <v>0.3491</v>
      </c>
      <c r="F13" s="29">
        <v>300000</v>
      </c>
      <c r="G13" s="31">
        <v>1.007</v>
      </c>
      <c r="H13" s="29">
        <v>52475</v>
      </c>
      <c r="I13" s="32">
        <v>297.72</v>
      </c>
      <c r="J13" s="32">
        <v>89317270.56</v>
      </c>
      <c r="K13" s="32">
        <v>17863454.11</v>
      </c>
      <c r="L13" s="32">
        <v>70453816.44</v>
      </c>
      <c r="M13" s="30">
        <v>0.107</v>
      </c>
      <c r="N13" s="29">
        <v>107341</v>
      </c>
      <c r="O13" s="32">
        <v>37569350</v>
      </c>
      <c r="P13" s="32">
        <v>358633385.81</v>
      </c>
      <c r="Q13" s="32">
        <v>282906708.65</v>
      </c>
    </row>
    <row r="14" spans="2:17">
      <c r="B14" t="s">
        <v>217</v>
      </c>
      <c r="C14" s="25">
        <v>4</v>
      </c>
      <c r="D14" s="25">
        <v>1020844</v>
      </c>
      <c r="E14" s="13">
        <v>0.3475</v>
      </c>
      <c r="F14" s="25">
        <v>300000</v>
      </c>
      <c r="G14" s="26">
        <v>1.009</v>
      </c>
      <c r="H14" s="25">
        <v>57879</v>
      </c>
      <c r="I14" s="14">
        <v>296.97</v>
      </c>
      <c r="J14" s="27">
        <v>89090846.93000001</v>
      </c>
      <c r="K14" s="27">
        <v>17818169.39</v>
      </c>
      <c r="L14" s="27">
        <v>70272677.55</v>
      </c>
      <c r="M14" s="13">
        <v>0.1096</v>
      </c>
      <c r="N14" s="25">
        <v>111913</v>
      </c>
      <c r="O14" s="27">
        <v>39169550</v>
      </c>
      <c r="P14" s="27">
        <v>447724232.74</v>
      </c>
      <c r="Q14" s="27">
        <v>353179386.2</v>
      </c>
    </row>
    <row r="15" spans="2:17">
      <c r="B15" s="28" t="s">
        <v>218</v>
      </c>
      <c r="C15" s="29">
        <v>5</v>
      </c>
      <c r="D15" s="29">
        <v>1038568</v>
      </c>
      <c r="E15" s="30">
        <v>0.3458</v>
      </c>
      <c r="F15" s="29">
        <v>300000</v>
      </c>
      <c r="G15" s="31">
        <v>1.011</v>
      </c>
      <c r="H15" s="29">
        <v>63076</v>
      </c>
      <c r="I15" s="32">
        <v>296.22</v>
      </c>
      <c r="J15" s="32">
        <v>88864997.3</v>
      </c>
      <c r="K15" s="32">
        <v>17772999.46</v>
      </c>
      <c r="L15" s="32">
        <v>70091997.84</v>
      </c>
      <c r="M15" s="30">
        <v>0.1124</v>
      </c>
      <c r="N15" s="29">
        <v>116782</v>
      </c>
      <c r="O15" s="32">
        <v>40873700</v>
      </c>
      <c r="P15" s="32">
        <v>536589230.05</v>
      </c>
      <c r="Q15" s="32">
        <v>423271384.04</v>
      </c>
    </row>
    <row r="16" spans="2:17">
      <c r="B16" t="s">
        <v>219</v>
      </c>
      <c r="C16" s="25">
        <v>6</v>
      </c>
      <c r="D16" s="25">
        <v>1056275</v>
      </c>
      <c r="E16" s="13">
        <v>0.3439</v>
      </c>
      <c r="F16" s="25">
        <v>300000</v>
      </c>
      <c r="G16" s="26">
        <v>1.013</v>
      </c>
      <c r="H16" s="25">
        <v>68056</v>
      </c>
      <c r="I16" s="14">
        <v>295.47</v>
      </c>
      <c r="J16" s="27">
        <v>88639720.22</v>
      </c>
      <c r="K16" s="27">
        <v>17727944.04</v>
      </c>
      <c r="L16" s="27">
        <v>69911776.17</v>
      </c>
      <c r="M16" s="13">
        <v>0.1155</v>
      </c>
      <c r="N16" s="25">
        <v>121961</v>
      </c>
      <c r="O16" s="27">
        <v>42686350</v>
      </c>
      <c r="P16" s="27">
        <v>625228950.27</v>
      </c>
      <c r="Q16" s="27">
        <v>493183160.21</v>
      </c>
    </row>
    <row r="17" spans="2:17">
      <c r="B17" s="28" t="s">
        <v>220</v>
      </c>
      <c r="C17" s="29">
        <v>7</v>
      </c>
      <c r="D17" s="29">
        <v>1073953</v>
      </c>
      <c r="E17" s="30">
        <v>0.3418</v>
      </c>
      <c r="F17" s="29">
        <v>300000</v>
      </c>
      <c r="G17" s="31">
        <v>1.016</v>
      </c>
      <c r="H17" s="29">
        <v>72812</v>
      </c>
      <c r="I17" s="32">
        <v>294.72</v>
      </c>
      <c r="J17" s="32">
        <v>88415014.22</v>
      </c>
      <c r="K17" s="32">
        <v>17683002.84</v>
      </c>
      <c r="L17" s="32">
        <v>69732011.37</v>
      </c>
      <c r="M17" s="30">
        <v>0.1187</v>
      </c>
      <c r="N17" s="29">
        <v>127459</v>
      </c>
      <c r="O17" s="32">
        <v>44610650</v>
      </c>
      <c r="P17" s="32">
        <v>713643964.48</v>
      </c>
      <c r="Q17" s="32">
        <v>562915171.59</v>
      </c>
    </row>
    <row r="18" spans="2:17">
      <c r="B18" t="s">
        <v>221</v>
      </c>
      <c r="C18" s="25">
        <v>8</v>
      </c>
      <c r="D18" s="25">
        <v>1091592</v>
      </c>
      <c r="E18" s="13">
        <v>0.3396</v>
      </c>
      <c r="F18" s="25">
        <v>300000</v>
      </c>
      <c r="G18" s="26">
        <v>1.018</v>
      </c>
      <c r="H18" s="25">
        <v>77345</v>
      </c>
      <c r="I18" s="14">
        <v>293.97</v>
      </c>
      <c r="J18" s="27">
        <v>88190877.86</v>
      </c>
      <c r="K18" s="27">
        <v>17638175.57</v>
      </c>
      <c r="L18" s="27">
        <v>69552702.29000001</v>
      </c>
      <c r="M18" s="13">
        <v>0.1221</v>
      </c>
      <c r="N18" s="25">
        <v>133286</v>
      </c>
      <c r="O18" s="27">
        <v>46650100</v>
      </c>
      <c r="P18" s="27">
        <v>801834842.34</v>
      </c>
      <c r="Q18" s="27">
        <v>632467873.87</v>
      </c>
    </row>
    <row r="19" spans="2:17">
      <c r="B19" s="28" t="s">
        <v>222</v>
      </c>
      <c r="C19" s="29">
        <v>9</v>
      </c>
      <c r="D19" s="29">
        <v>1109178</v>
      </c>
      <c r="E19" s="30">
        <v>0.3373</v>
      </c>
      <c r="F19" s="29">
        <v>300000</v>
      </c>
      <c r="G19" s="31">
        <v>1.02</v>
      </c>
      <c r="H19" s="29">
        <v>81661</v>
      </c>
      <c r="I19" s="32">
        <v>293.22</v>
      </c>
      <c r="J19" s="32">
        <v>87967309.69</v>
      </c>
      <c r="K19" s="32">
        <v>17593461.94</v>
      </c>
      <c r="L19" s="32">
        <v>69373847.76000001</v>
      </c>
      <c r="M19" s="30">
        <v>0.1257</v>
      </c>
      <c r="N19" s="29">
        <v>139445</v>
      </c>
      <c r="O19" s="32">
        <v>48805750</v>
      </c>
      <c r="P19" s="32">
        <v>889802152.03</v>
      </c>
      <c r="Q19" s="32">
        <v>701841721.63</v>
      </c>
    </row>
    <row r="20" spans="2:17">
      <c r="B20" t="s">
        <v>223</v>
      </c>
      <c r="C20" s="25">
        <v>10</v>
      </c>
      <c r="D20" s="25">
        <v>1126702</v>
      </c>
      <c r="E20" s="13">
        <v>0.335</v>
      </c>
      <c r="F20" s="25">
        <v>300000</v>
      </c>
      <c r="G20" s="26">
        <v>1.022</v>
      </c>
      <c r="H20" s="25">
        <v>85779</v>
      </c>
      <c r="I20" s="14">
        <v>292.48</v>
      </c>
      <c r="J20" s="27">
        <v>87744308.29000001</v>
      </c>
      <c r="K20" s="27">
        <v>17548861.66</v>
      </c>
      <c r="L20" s="27">
        <v>69195446.63</v>
      </c>
      <c r="M20" s="13">
        <v>0.1295</v>
      </c>
      <c r="N20" s="25">
        <v>145939</v>
      </c>
      <c r="O20" s="27">
        <v>51078650</v>
      </c>
      <c r="P20" s="27">
        <v>977546460.3200001</v>
      </c>
      <c r="Q20" s="27">
        <v>771037168.26</v>
      </c>
    </row>
    <row r="21" spans="2:17">
      <c r="B21" s="28" t="s">
        <v>224</v>
      </c>
      <c r="C21" s="29">
        <v>11</v>
      </c>
      <c r="D21" s="29">
        <v>1144150</v>
      </c>
      <c r="E21" s="30">
        <v>0.3325</v>
      </c>
      <c r="F21" s="29">
        <v>300000</v>
      </c>
      <c r="G21" s="31">
        <v>1.024</v>
      </c>
      <c r="H21" s="29">
        <v>89722</v>
      </c>
      <c r="I21" s="32">
        <v>291.74</v>
      </c>
      <c r="J21" s="32">
        <v>87521872.2</v>
      </c>
      <c r="K21" s="32">
        <v>17504374.44</v>
      </c>
      <c r="L21" s="32">
        <v>69017497.76000001</v>
      </c>
      <c r="M21" s="30">
        <v>0.1335</v>
      </c>
      <c r="N21" s="29">
        <v>152762</v>
      </c>
      <c r="O21" s="32">
        <v>53466700</v>
      </c>
      <c r="P21" s="32">
        <v>1065068332.52</v>
      </c>
      <c r="Q21" s="32">
        <v>840054666.02</v>
      </c>
    </row>
    <row r="22" spans="2:17">
      <c r="B22" t="s">
        <v>225</v>
      </c>
      <c r="C22" s="25">
        <v>12</v>
      </c>
      <c r="D22" s="25">
        <v>1161510</v>
      </c>
      <c r="E22" s="13">
        <v>0.33</v>
      </c>
      <c r="F22" s="25">
        <v>393519</v>
      </c>
      <c r="G22" s="26">
        <v>1.027</v>
      </c>
      <c r="H22" s="25">
        <v>0</v>
      </c>
      <c r="I22" s="14">
        <v>291</v>
      </c>
      <c r="J22" s="27">
        <v>114514029</v>
      </c>
      <c r="K22" s="27">
        <v>22902805.8</v>
      </c>
      <c r="L22" s="27">
        <v>90611223.2</v>
      </c>
      <c r="M22" s="13">
        <v>0.1377</v>
      </c>
      <c r="N22" s="25">
        <v>159906</v>
      </c>
      <c r="O22" s="27">
        <v>55967100</v>
      </c>
      <c r="P22" s="27">
        <v>1179582361.52</v>
      </c>
      <c r="Q22" s="27">
        <v>930665889.22</v>
      </c>
    </row>
    <row r="23" spans="2:17">
      <c r="B23" s="28" t="s">
        <v>226</v>
      </c>
      <c r="C23" s="29">
        <v>13</v>
      </c>
      <c r="D23" s="29">
        <v>1178772</v>
      </c>
      <c r="E23" s="30">
        <v>0.3275</v>
      </c>
      <c r="F23" s="29">
        <v>397206</v>
      </c>
      <c r="G23" s="31">
        <v>1.029</v>
      </c>
      <c r="H23" s="29">
        <v>0</v>
      </c>
      <c r="I23" s="32">
        <v>290.26</v>
      </c>
      <c r="J23" s="32">
        <v>115293927.47</v>
      </c>
      <c r="K23" s="32">
        <v>23058785.49</v>
      </c>
      <c r="L23" s="32">
        <v>91235141.98</v>
      </c>
      <c r="M23" s="30">
        <v>0.142</v>
      </c>
      <c r="N23" s="29">
        <v>167359</v>
      </c>
      <c r="O23" s="32">
        <v>58575650</v>
      </c>
      <c r="P23" s="32">
        <v>1294876288.99</v>
      </c>
      <c r="Q23" s="32">
        <v>1021901031.2</v>
      </c>
    </row>
    <row r="24" spans="2:17">
      <c r="B24" t="s">
        <v>227</v>
      </c>
      <c r="C24" s="25">
        <v>14</v>
      </c>
      <c r="D24" s="25">
        <v>1195921</v>
      </c>
      <c r="E24" s="13">
        <v>0.325</v>
      </c>
      <c r="F24" s="25">
        <v>400822</v>
      </c>
      <c r="G24" s="26">
        <v>1.031</v>
      </c>
      <c r="H24" s="25">
        <v>0</v>
      </c>
      <c r="I24" s="14">
        <v>289.53</v>
      </c>
      <c r="J24" s="27">
        <v>116048579.48</v>
      </c>
      <c r="K24" s="27">
        <v>23209715.9</v>
      </c>
      <c r="L24" s="27">
        <v>91838863.59</v>
      </c>
      <c r="M24" s="13">
        <v>0.1464</v>
      </c>
      <c r="N24" s="25">
        <v>175101</v>
      </c>
      <c r="O24" s="27">
        <v>61285350</v>
      </c>
      <c r="P24" s="27">
        <v>1410924868.48</v>
      </c>
      <c r="Q24" s="27">
        <v>1113739894.78</v>
      </c>
    </row>
    <row r="25" spans="2:17">
      <c r="B25" s="28" t="s">
        <v>228</v>
      </c>
      <c r="C25" s="29">
        <v>15</v>
      </c>
      <c r="D25" s="29">
        <v>1212946</v>
      </c>
      <c r="E25" s="30">
        <v>0.3227</v>
      </c>
      <c r="F25" s="29">
        <v>404404</v>
      </c>
      <c r="G25" s="31">
        <v>1.033</v>
      </c>
      <c r="H25" s="29">
        <v>0</v>
      </c>
      <c r="I25" s="32">
        <v>288.79</v>
      </c>
      <c r="J25" s="32">
        <v>116788845.46</v>
      </c>
      <c r="K25" s="32">
        <v>23357769.09</v>
      </c>
      <c r="L25" s="32">
        <v>92431076.37</v>
      </c>
      <c r="M25" s="30">
        <v>0.151</v>
      </c>
      <c r="N25" s="29">
        <v>183110</v>
      </c>
      <c r="O25" s="32">
        <v>64088500</v>
      </c>
      <c r="P25" s="32">
        <v>1527713713.94</v>
      </c>
      <c r="Q25" s="32">
        <v>1206170971.15</v>
      </c>
    </row>
    <row r="26" spans="2:17">
      <c r="B26" t="s">
        <v>229</v>
      </c>
      <c r="C26" s="25">
        <v>16</v>
      </c>
      <c r="D26" s="25">
        <v>1229834</v>
      </c>
      <c r="E26" s="13">
        <v>0.3204</v>
      </c>
      <c r="F26" s="25">
        <v>407991</v>
      </c>
      <c r="G26" s="26">
        <v>1.036</v>
      </c>
      <c r="H26" s="25">
        <v>0</v>
      </c>
      <c r="I26" s="14">
        <v>288.06</v>
      </c>
      <c r="J26" s="27">
        <v>117526052.73</v>
      </c>
      <c r="K26" s="27">
        <v>23505210.55</v>
      </c>
      <c r="L26" s="27">
        <v>93020842.18000001</v>
      </c>
      <c r="M26" s="13">
        <v>0.1556</v>
      </c>
      <c r="N26" s="25">
        <v>191355</v>
      </c>
      <c r="O26" s="27">
        <v>66974250</v>
      </c>
      <c r="P26" s="27">
        <v>1645239766.67</v>
      </c>
      <c r="Q26" s="27">
        <v>1299191813.33</v>
      </c>
    </row>
    <row r="27" spans="2:17">
      <c r="B27" s="28" t="s">
        <v>230</v>
      </c>
      <c r="C27" s="29">
        <v>17</v>
      </c>
      <c r="D27" s="29">
        <v>1246573</v>
      </c>
      <c r="E27" s="30">
        <v>0.3182</v>
      </c>
      <c r="F27" s="29">
        <v>411613</v>
      </c>
      <c r="G27" s="31">
        <v>1.038</v>
      </c>
      <c r="H27" s="29">
        <v>0</v>
      </c>
      <c r="I27" s="32">
        <v>287.33</v>
      </c>
      <c r="J27" s="32">
        <v>118268828.3</v>
      </c>
      <c r="K27" s="32">
        <v>23653765.66</v>
      </c>
      <c r="L27" s="32">
        <v>93615062.64</v>
      </c>
      <c r="M27" s="30">
        <v>0.1603</v>
      </c>
      <c r="N27" s="29">
        <v>199803</v>
      </c>
      <c r="O27" s="32">
        <v>69931050</v>
      </c>
      <c r="P27" s="32">
        <v>1763508594.97</v>
      </c>
      <c r="Q27" s="32">
        <v>1392806875.98</v>
      </c>
    </row>
    <row r="28" spans="2:17">
      <c r="B28" t="s">
        <v>231</v>
      </c>
      <c r="C28" s="25">
        <v>18</v>
      </c>
      <c r="D28" s="25">
        <v>1263151</v>
      </c>
      <c r="E28" s="13">
        <v>0.3161</v>
      </c>
      <c r="F28" s="25">
        <v>415301</v>
      </c>
      <c r="G28" s="26">
        <v>1.04</v>
      </c>
      <c r="H28" s="25">
        <v>0</v>
      </c>
      <c r="I28" s="14">
        <v>286.6</v>
      </c>
      <c r="J28" s="27">
        <v>119025998.37</v>
      </c>
      <c r="K28" s="27">
        <v>23805199.67</v>
      </c>
      <c r="L28" s="27">
        <v>94220798.7</v>
      </c>
      <c r="M28" s="13">
        <v>0.165</v>
      </c>
      <c r="N28" s="25">
        <v>208419</v>
      </c>
      <c r="O28" s="27">
        <v>72946650</v>
      </c>
      <c r="P28" s="27">
        <v>1882534593.34</v>
      </c>
      <c r="Q28" s="27">
        <v>1487027674.67</v>
      </c>
    </row>
    <row r="29" spans="2:17">
      <c r="B29" s="28" t="s">
        <v>232</v>
      </c>
      <c r="C29" s="29">
        <v>19</v>
      </c>
      <c r="D29" s="29">
        <v>1279555</v>
      </c>
      <c r="E29" s="30">
        <v>0.3142</v>
      </c>
      <c r="F29" s="29">
        <v>419073</v>
      </c>
      <c r="G29" s="31">
        <v>1.042</v>
      </c>
      <c r="H29" s="29">
        <v>0</v>
      </c>
      <c r="I29" s="32">
        <v>285.88</v>
      </c>
      <c r="J29" s="32">
        <v>119802582.98</v>
      </c>
      <c r="K29" s="32">
        <v>23960516.6</v>
      </c>
      <c r="L29" s="32">
        <v>94842066.39</v>
      </c>
      <c r="M29" s="30">
        <v>0.1697</v>
      </c>
      <c r="N29" s="29">
        <v>217162</v>
      </c>
      <c r="O29" s="32">
        <v>76006700</v>
      </c>
      <c r="P29" s="32">
        <v>2002337176.33</v>
      </c>
      <c r="Q29" s="32">
        <v>1581869741.06</v>
      </c>
    </row>
    <row r="30" spans="2:17">
      <c r="B30" t="s">
        <v>233</v>
      </c>
      <c r="C30" s="25">
        <v>20</v>
      </c>
      <c r="D30" s="25">
        <v>1295771</v>
      </c>
      <c r="E30" s="13">
        <v>0.3125</v>
      </c>
      <c r="F30" s="25">
        <v>422946</v>
      </c>
      <c r="G30" s="26">
        <v>1.044</v>
      </c>
      <c r="H30" s="25">
        <v>0</v>
      </c>
      <c r="I30" s="14">
        <v>285.15</v>
      </c>
      <c r="J30" s="27">
        <v>120603265.52</v>
      </c>
      <c r="K30" s="27">
        <v>24120653.1</v>
      </c>
      <c r="L30" s="27">
        <v>95482612.41</v>
      </c>
      <c r="M30" s="13">
        <v>0.1744</v>
      </c>
      <c r="N30" s="25">
        <v>225989</v>
      </c>
      <c r="O30" s="27">
        <v>79096150</v>
      </c>
      <c r="P30" s="27">
        <v>2122940441.84</v>
      </c>
      <c r="Q30" s="27">
        <v>1677352353.48</v>
      </c>
    </row>
    <row r="31" spans="2:17">
      <c r="B31" s="28" t="s">
        <v>234</v>
      </c>
      <c r="C31" s="29">
        <v>21</v>
      </c>
      <c r="D31" s="29">
        <v>1311789</v>
      </c>
      <c r="E31" s="30">
        <v>0.3109</v>
      </c>
      <c r="F31" s="29">
        <v>426929</v>
      </c>
      <c r="G31" s="31">
        <v>1.047</v>
      </c>
      <c r="H31" s="29">
        <v>0</v>
      </c>
      <c r="I31" s="32">
        <v>284.43</v>
      </c>
      <c r="J31" s="32">
        <v>121430405.65</v>
      </c>
      <c r="K31" s="32">
        <v>24286081.13</v>
      </c>
      <c r="L31" s="32">
        <v>96144324.52</v>
      </c>
      <c r="M31" s="30">
        <v>0.179</v>
      </c>
      <c r="N31" s="29">
        <v>234858</v>
      </c>
      <c r="O31" s="32">
        <v>82200300</v>
      </c>
      <c r="P31" s="32">
        <v>2244370847.49</v>
      </c>
      <c r="Q31" s="32">
        <v>1773496677.99</v>
      </c>
    </row>
    <row r="32" spans="2:17">
      <c r="B32" t="s">
        <v>235</v>
      </c>
      <c r="C32" s="25">
        <v>22</v>
      </c>
      <c r="D32" s="25">
        <v>1327595</v>
      </c>
      <c r="E32" s="13">
        <v>0.3095</v>
      </c>
      <c r="F32" s="25">
        <v>431023</v>
      </c>
      <c r="G32" s="26">
        <v>1.049</v>
      </c>
      <c r="H32" s="25">
        <v>0</v>
      </c>
      <c r="I32" s="14">
        <v>283.71</v>
      </c>
      <c r="J32" s="27">
        <v>122284068.47</v>
      </c>
      <c r="K32" s="27">
        <v>24456813.69</v>
      </c>
      <c r="L32" s="27">
        <v>96827254.78</v>
      </c>
      <c r="M32" s="13">
        <v>0.1836</v>
      </c>
      <c r="N32" s="25">
        <v>243725</v>
      </c>
      <c r="O32" s="27">
        <v>85303750</v>
      </c>
      <c r="P32" s="27">
        <v>2366654915.96</v>
      </c>
      <c r="Q32" s="27">
        <v>1870323932.77</v>
      </c>
    </row>
    <row r="33" spans="2:17">
      <c r="B33" s="28" t="s">
        <v>236</v>
      </c>
      <c r="C33" s="29">
        <v>23</v>
      </c>
      <c r="D33" s="29">
        <v>1343177</v>
      </c>
      <c r="E33" s="30">
        <v>0.3083</v>
      </c>
      <c r="F33" s="29">
        <v>435224</v>
      </c>
      <c r="G33" s="31">
        <v>1.051</v>
      </c>
      <c r="H33" s="29">
        <v>0</v>
      </c>
      <c r="I33" s="32">
        <v>282.99</v>
      </c>
      <c r="J33" s="32">
        <v>123162902.43</v>
      </c>
      <c r="K33" s="32">
        <v>24632580.49</v>
      </c>
      <c r="L33" s="32">
        <v>97530321.94</v>
      </c>
      <c r="M33" s="30">
        <v>0.188</v>
      </c>
      <c r="N33" s="29">
        <v>252546</v>
      </c>
      <c r="O33" s="32">
        <v>88391100</v>
      </c>
      <c r="P33" s="32">
        <v>2489817818.39</v>
      </c>
      <c r="Q33" s="32">
        <v>1967854254.71</v>
      </c>
    </row>
    <row r="34" spans="2:17">
      <c r="B34" t="s">
        <v>237</v>
      </c>
      <c r="C34" s="25">
        <v>24</v>
      </c>
      <c r="D34" s="25">
        <v>1358522</v>
      </c>
      <c r="E34" s="13">
        <v>0.3072</v>
      </c>
      <c r="F34" s="25">
        <v>439526</v>
      </c>
      <c r="G34" s="26">
        <v>1.053</v>
      </c>
      <c r="H34" s="25">
        <v>0</v>
      </c>
      <c r="I34" s="14">
        <v>282.27</v>
      </c>
      <c r="J34" s="27">
        <v>124065004.02</v>
      </c>
      <c r="K34" s="27">
        <v>24813000.8</v>
      </c>
      <c r="L34" s="27">
        <v>98252003.22</v>
      </c>
      <c r="M34" s="13">
        <v>0.1923</v>
      </c>
      <c r="N34" s="25">
        <v>261282</v>
      </c>
      <c r="O34" s="27">
        <v>91448700</v>
      </c>
      <c r="P34" s="27">
        <v>2613882822.41</v>
      </c>
      <c r="Q34" s="27">
        <v>2066106257.93</v>
      </c>
    </row>
    <row r="35" spans="2:17">
      <c r="B35" s="28" t="s">
        <v>238</v>
      </c>
      <c r="C35" s="29">
        <v>25</v>
      </c>
      <c r="D35" s="29">
        <v>1373619</v>
      </c>
      <c r="E35" s="30">
        <v>0.3062</v>
      </c>
      <c r="F35" s="29">
        <v>443920</v>
      </c>
      <c r="G35" s="31">
        <v>1.056</v>
      </c>
      <c r="H35" s="29">
        <v>0</v>
      </c>
      <c r="I35" s="32">
        <v>281.55</v>
      </c>
      <c r="J35" s="32">
        <v>124987643.38</v>
      </c>
      <c r="K35" s="32">
        <v>24997528.68</v>
      </c>
      <c r="L35" s="32">
        <v>98990114.7</v>
      </c>
      <c r="M35" s="30">
        <v>0.1965</v>
      </c>
      <c r="N35" s="29">
        <v>269894</v>
      </c>
      <c r="O35" s="32">
        <v>94462900</v>
      </c>
      <c r="P35" s="32">
        <v>2738870465.78</v>
      </c>
      <c r="Q35" s="32">
        <v>2165096372.63</v>
      </c>
    </row>
    <row r="36" spans="2:17">
      <c r="B36" t="s">
        <v>239</v>
      </c>
      <c r="C36" s="25">
        <v>26</v>
      </c>
      <c r="D36" s="25">
        <v>1388454</v>
      </c>
      <c r="E36" s="13">
        <v>0.3053</v>
      </c>
      <c r="F36" s="25">
        <v>448391</v>
      </c>
      <c r="G36" s="26">
        <v>1.058</v>
      </c>
      <c r="H36" s="25">
        <v>0</v>
      </c>
      <c r="I36" s="14">
        <v>280.84</v>
      </c>
      <c r="J36" s="27">
        <v>125926432.29</v>
      </c>
      <c r="K36" s="27">
        <v>25185286.46</v>
      </c>
      <c r="L36" s="27">
        <v>99741145.84</v>
      </c>
      <c r="M36" s="13">
        <v>0.2005</v>
      </c>
      <c r="N36" s="25">
        <v>278346</v>
      </c>
      <c r="O36" s="27">
        <v>97421100</v>
      </c>
      <c r="P36" s="27">
        <v>2864796898.08</v>
      </c>
      <c r="Q36" s="27">
        <v>2264837518.46</v>
      </c>
    </row>
    <row r="37" spans="2:17">
      <c r="B37" s="28" t="s">
        <v>240</v>
      </c>
      <c r="C37" s="29">
        <v>27</v>
      </c>
      <c r="D37" s="29">
        <v>1403016</v>
      </c>
      <c r="E37" s="30">
        <v>0.3046</v>
      </c>
      <c r="F37" s="29">
        <v>452927</v>
      </c>
      <c r="G37" s="31">
        <v>1.06</v>
      </c>
      <c r="H37" s="29">
        <v>0</v>
      </c>
      <c r="I37" s="32">
        <v>280.13</v>
      </c>
      <c r="J37" s="32">
        <v>126877866.6</v>
      </c>
      <c r="K37" s="32">
        <v>25375573.32</v>
      </c>
      <c r="L37" s="32">
        <v>100502293.28</v>
      </c>
      <c r="M37" s="30">
        <v>0.2043</v>
      </c>
      <c r="N37" s="29">
        <v>286608</v>
      </c>
      <c r="O37" s="32">
        <v>100312800</v>
      </c>
      <c r="P37" s="32">
        <v>2991674764.68</v>
      </c>
      <c r="Q37" s="32">
        <v>2365339811.74</v>
      </c>
    </row>
    <row r="38" spans="2:17">
      <c r="B38" t="s">
        <v>241</v>
      </c>
      <c r="C38" s="25">
        <v>28</v>
      </c>
      <c r="D38" s="25">
        <v>1417293</v>
      </c>
      <c r="E38" s="13">
        <v>0.3039</v>
      </c>
      <c r="F38" s="25">
        <v>457511</v>
      </c>
      <c r="G38" s="26">
        <v>1.062</v>
      </c>
      <c r="H38" s="25">
        <v>0</v>
      </c>
      <c r="I38" s="14">
        <v>279.42</v>
      </c>
      <c r="J38" s="27">
        <v>127837079.87</v>
      </c>
      <c r="K38" s="27">
        <v>25567415.97</v>
      </c>
      <c r="L38" s="27">
        <v>101269663.9</v>
      </c>
      <c r="M38" s="13">
        <v>0.2079</v>
      </c>
      <c r="N38" s="25">
        <v>294651</v>
      </c>
      <c r="O38" s="27">
        <v>103127850</v>
      </c>
      <c r="P38" s="27">
        <v>3119511844.55</v>
      </c>
      <c r="Q38" s="27">
        <v>2466609475.64</v>
      </c>
    </row>
    <row r="39" spans="2:17">
      <c r="B39" s="28" t="s">
        <v>242</v>
      </c>
      <c r="C39" s="29">
        <v>29</v>
      </c>
      <c r="D39" s="29">
        <v>1431272</v>
      </c>
      <c r="E39" s="30">
        <v>0.3033</v>
      </c>
      <c r="F39" s="29">
        <v>462129</v>
      </c>
      <c r="G39" s="31">
        <v>1.064</v>
      </c>
      <c r="H39" s="29">
        <v>0</v>
      </c>
      <c r="I39" s="32">
        <v>278.71</v>
      </c>
      <c r="J39" s="32">
        <v>128800090.61</v>
      </c>
      <c r="K39" s="32">
        <v>25760018.12</v>
      </c>
      <c r="L39" s="32">
        <v>102040072.49</v>
      </c>
      <c r="M39" s="30">
        <v>0.2113</v>
      </c>
      <c r="N39" s="29">
        <v>302452</v>
      </c>
      <c r="O39" s="32">
        <v>105858200</v>
      </c>
      <c r="P39" s="32">
        <v>3248311935.15</v>
      </c>
      <c r="Q39" s="32">
        <v>2568649548.12</v>
      </c>
    </row>
    <row r="40" spans="2:17">
      <c r="B40" t="s">
        <v>243</v>
      </c>
      <c r="C40" s="25">
        <v>30</v>
      </c>
      <c r="D40" s="25">
        <v>1444943</v>
      </c>
      <c r="E40" s="13">
        <v>0.3028</v>
      </c>
      <c r="F40" s="25">
        <v>466766</v>
      </c>
      <c r="G40" s="26">
        <v>1.067</v>
      </c>
      <c r="H40" s="25">
        <v>0</v>
      </c>
      <c r="I40" s="14">
        <v>278</v>
      </c>
      <c r="J40" s="27">
        <v>129762679.32</v>
      </c>
      <c r="K40" s="27">
        <v>25952535.86</v>
      </c>
      <c r="L40" s="27">
        <v>102810143.45</v>
      </c>
      <c r="M40" s="13">
        <v>0.2145</v>
      </c>
      <c r="N40" s="25">
        <v>309993</v>
      </c>
      <c r="O40" s="27">
        <v>108497550</v>
      </c>
      <c r="P40" s="27">
        <v>3378074614.47</v>
      </c>
      <c r="Q40" s="27">
        <v>2671459691.58</v>
      </c>
    </row>
    <row r="41" spans="2:17">
      <c r="B41" s="28" t="s">
        <v>244</v>
      </c>
      <c r="C41" s="29">
        <v>31</v>
      </c>
      <c r="D41" s="29">
        <v>1458294</v>
      </c>
      <c r="E41" s="30">
        <v>0.3024</v>
      </c>
      <c r="F41" s="29">
        <v>471407</v>
      </c>
      <c r="G41" s="31">
        <v>1.069</v>
      </c>
      <c r="H41" s="29">
        <v>0</v>
      </c>
      <c r="I41" s="32">
        <v>277.3</v>
      </c>
      <c r="J41" s="32">
        <v>130720669.07</v>
      </c>
      <c r="K41" s="32">
        <v>26144133.81</v>
      </c>
      <c r="L41" s="32">
        <v>103576535.26</v>
      </c>
      <c r="M41" s="30">
        <v>0.2176</v>
      </c>
      <c r="N41" s="29">
        <v>317257</v>
      </c>
      <c r="O41" s="32">
        <v>111039950</v>
      </c>
      <c r="P41" s="32">
        <v>3508795283.54</v>
      </c>
      <c r="Q41" s="32">
        <v>2775036226.83</v>
      </c>
    </row>
    <row r="42" spans="2:17">
      <c r="B42" t="s">
        <v>245</v>
      </c>
      <c r="C42" s="25">
        <v>32</v>
      </c>
      <c r="D42" s="25">
        <v>1471312</v>
      </c>
      <c r="E42" s="13">
        <v>0.3021</v>
      </c>
      <c r="F42" s="25">
        <v>476038</v>
      </c>
      <c r="G42" s="26">
        <v>1.071</v>
      </c>
      <c r="H42" s="25">
        <v>0</v>
      </c>
      <c r="I42" s="14">
        <v>276.6</v>
      </c>
      <c r="J42" s="27">
        <v>131670201.85</v>
      </c>
      <c r="K42" s="27">
        <v>26334040.37</v>
      </c>
      <c r="L42" s="27">
        <v>104336161.48</v>
      </c>
      <c r="M42" s="13">
        <v>0.2204</v>
      </c>
      <c r="N42" s="25">
        <v>324235</v>
      </c>
      <c r="O42" s="27">
        <v>113482250</v>
      </c>
      <c r="P42" s="27">
        <v>3640465485.39</v>
      </c>
      <c r="Q42" s="27">
        <v>2879372388.31</v>
      </c>
    </row>
    <row r="43" spans="2:17">
      <c r="B43" s="28" t="s">
        <v>246</v>
      </c>
      <c r="C43" s="29">
        <v>33</v>
      </c>
      <c r="D43" s="29">
        <v>1483988</v>
      </c>
      <c r="E43" s="30">
        <v>0.3018</v>
      </c>
      <c r="F43" s="29">
        <v>480645</v>
      </c>
      <c r="G43" s="31">
        <v>1.073</v>
      </c>
      <c r="H43" s="29">
        <v>0</v>
      </c>
      <c r="I43" s="32">
        <v>275.89</v>
      </c>
      <c r="J43" s="32">
        <v>132607458.86</v>
      </c>
      <c r="K43" s="32">
        <v>26521491.77</v>
      </c>
      <c r="L43" s="32">
        <v>105085967.08</v>
      </c>
      <c r="M43" s="30">
        <v>0.223</v>
      </c>
      <c r="N43" s="29">
        <v>330917</v>
      </c>
      <c r="O43" s="32">
        <v>115820950</v>
      </c>
      <c r="P43" s="32">
        <v>3773072944.25</v>
      </c>
      <c r="Q43" s="32">
        <v>2984458355.4</v>
      </c>
    </row>
    <row r="44" spans="2:17">
      <c r="B44" t="s">
        <v>247</v>
      </c>
      <c r="C44" s="25">
        <v>34</v>
      </c>
      <c r="D44" s="25">
        <v>1496310</v>
      </c>
      <c r="E44" s="13">
        <v>0.3015</v>
      </c>
      <c r="F44" s="25">
        <v>485215</v>
      </c>
      <c r="G44" s="26">
        <v>1.076</v>
      </c>
      <c r="H44" s="25">
        <v>0</v>
      </c>
      <c r="I44" s="14">
        <v>275.2</v>
      </c>
      <c r="J44" s="27">
        <v>133528935.47</v>
      </c>
      <c r="K44" s="27">
        <v>26705787.09</v>
      </c>
      <c r="L44" s="27">
        <v>105823148.38</v>
      </c>
      <c r="M44" s="13">
        <v>0.2254</v>
      </c>
      <c r="N44" s="25">
        <v>337300</v>
      </c>
      <c r="O44" s="27">
        <v>118055000</v>
      </c>
      <c r="P44" s="27">
        <v>3906601879.72</v>
      </c>
      <c r="Q44" s="27">
        <v>3090281503.78</v>
      </c>
    </row>
    <row r="45" spans="2:17">
      <c r="B45" s="28" t="s">
        <v>248</v>
      </c>
      <c r="C45" s="29">
        <v>35</v>
      </c>
      <c r="D45" s="29">
        <v>1508268</v>
      </c>
      <c r="E45" s="30">
        <v>0.3013</v>
      </c>
      <c r="F45" s="29">
        <v>489738</v>
      </c>
      <c r="G45" s="31">
        <v>1.078</v>
      </c>
      <c r="H45" s="29">
        <v>0</v>
      </c>
      <c r="I45" s="32">
        <v>274.5</v>
      </c>
      <c r="J45" s="32">
        <v>134431986.52</v>
      </c>
      <c r="K45" s="32">
        <v>26886397.3</v>
      </c>
      <c r="L45" s="32">
        <v>106545589.22</v>
      </c>
      <c r="M45" s="30">
        <v>0.2277</v>
      </c>
      <c r="N45" s="29">
        <v>343382</v>
      </c>
      <c r="O45" s="32">
        <v>120183700</v>
      </c>
      <c r="P45" s="32">
        <v>4041033866.24</v>
      </c>
      <c r="Q45" s="32">
        <v>3196827092.99</v>
      </c>
    </row>
    <row r="46" spans="2:17">
      <c r="B46" t="s">
        <v>249</v>
      </c>
      <c r="C46" s="25">
        <v>36</v>
      </c>
      <c r="D46" s="25">
        <v>1519850</v>
      </c>
      <c r="E46" s="13">
        <v>0.3011</v>
      </c>
      <c r="F46" s="25">
        <v>494202</v>
      </c>
      <c r="G46" s="26">
        <v>1.08</v>
      </c>
      <c r="H46" s="25">
        <v>0</v>
      </c>
      <c r="I46" s="14">
        <v>273.8</v>
      </c>
      <c r="J46" s="27">
        <v>135313446.58</v>
      </c>
      <c r="K46" s="27">
        <v>27062689.32</v>
      </c>
      <c r="L46" s="27">
        <v>107250757.27</v>
      </c>
      <c r="M46" s="13">
        <v>0.2297</v>
      </c>
      <c r="N46" s="25">
        <v>349163</v>
      </c>
      <c r="O46" s="27">
        <v>122207050</v>
      </c>
      <c r="P46" s="27">
        <v>4176347312.83</v>
      </c>
      <c r="Q46" s="27">
        <v>3304077850.26</v>
      </c>
    </row>
    <row r="47" spans="2:17">
      <c r="B47" s="28" t="s">
        <v>250</v>
      </c>
      <c r="C47" s="29">
        <v>37</v>
      </c>
      <c r="D47" s="29">
        <v>1531047</v>
      </c>
      <c r="E47" s="30">
        <v>0.3009</v>
      </c>
      <c r="F47" s="29">
        <v>497573</v>
      </c>
      <c r="G47" s="31">
        <v>1.08</v>
      </c>
      <c r="H47" s="29">
        <v>0</v>
      </c>
      <c r="I47" s="32">
        <v>273.11</v>
      </c>
      <c r="J47" s="32">
        <v>135891066.81</v>
      </c>
      <c r="K47" s="32">
        <v>27178213.36</v>
      </c>
      <c r="L47" s="32">
        <v>107712853.45</v>
      </c>
      <c r="M47" s="30">
        <v>0.2316</v>
      </c>
      <c r="N47" s="29">
        <v>354646</v>
      </c>
      <c r="O47" s="32">
        <v>124126100</v>
      </c>
      <c r="P47" s="32">
        <v>4312238379.64</v>
      </c>
      <c r="Q47" s="32">
        <v>3411790703.71</v>
      </c>
    </row>
    <row r="48" spans="2:17">
      <c r="B48" t="s">
        <v>251</v>
      </c>
      <c r="C48" s="25">
        <v>38</v>
      </c>
      <c r="D48" s="25">
        <v>1541849</v>
      </c>
      <c r="E48" s="13">
        <v>0.3008</v>
      </c>
      <c r="F48" s="25">
        <v>500853</v>
      </c>
      <c r="G48" s="26">
        <v>1.08</v>
      </c>
      <c r="H48" s="25">
        <v>0</v>
      </c>
      <c r="I48" s="14">
        <v>272.42</v>
      </c>
      <c r="J48" s="27">
        <v>136440099.05</v>
      </c>
      <c r="K48" s="27">
        <v>27288019.81</v>
      </c>
      <c r="L48" s="27">
        <v>108152079.24</v>
      </c>
      <c r="M48" s="13">
        <v>0.2334</v>
      </c>
      <c r="N48" s="25">
        <v>359834</v>
      </c>
      <c r="O48" s="27">
        <v>125941900</v>
      </c>
      <c r="P48" s="27">
        <v>4448678478.68</v>
      </c>
      <c r="Q48" s="27">
        <v>3519942782.95</v>
      </c>
    </row>
    <row r="49" spans="2:17">
      <c r="B49" s="28" t="s">
        <v>252</v>
      </c>
      <c r="C49" s="29">
        <v>39</v>
      </c>
      <c r="D49" s="29">
        <v>1552247</v>
      </c>
      <c r="E49" s="30">
        <v>0.3007</v>
      </c>
      <c r="F49" s="29">
        <v>504032</v>
      </c>
      <c r="G49" s="31">
        <v>1.08</v>
      </c>
      <c r="H49" s="29">
        <v>0</v>
      </c>
      <c r="I49" s="32">
        <v>271.72</v>
      </c>
      <c r="J49" s="32">
        <v>136958030.13</v>
      </c>
      <c r="K49" s="32">
        <v>27391606.03</v>
      </c>
      <c r="L49" s="32">
        <v>108566424.1</v>
      </c>
      <c r="M49" s="30">
        <v>0.235</v>
      </c>
      <c r="N49" s="29">
        <v>364734</v>
      </c>
      <c r="O49" s="32">
        <v>127656900</v>
      </c>
      <c r="P49" s="32">
        <v>4585636508.81</v>
      </c>
      <c r="Q49" s="32">
        <v>3628509207.05</v>
      </c>
    </row>
    <row r="50" spans="2:17">
      <c r="B50" t="s">
        <v>253</v>
      </c>
      <c r="C50" s="25">
        <v>40</v>
      </c>
      <c r="D50" s="25">
        <v>1562230</v>
      </c>
      <c r="E50" s="13">
        <v>0.3006</v>
      </c>
      <c r="F50" s="25">
        <v>507105</v>
      </c>
      <c r="G50" s="26">
        <v>1.08</v>
      </c>
      <c r="H50" s="25">
        <v>0</v>
      </c>
      <c r="I50" s="14">
        <v>271.04</v>
      </c>
      <c r="J50" s="27">
        <v>137443728.6</v>
      </c>
      <c r="K50" s="27">
        <v>27488745.72</v>
      </c>
      <c r="L50" s="27">
        <v>108954982.88</v>
      </c>
      <c r="M50" s="13">
        <v>0.2364</v>
      </c>
      <c r="N50" s="25">
        <v>369352</v>
      </c>
      <c r="O50" s="27">
        <v>129273200</v>
      </c>
      <c r="P50" s="27">
        <v>4723080237.41</v>
      </c>
      <c r="Q50" s="27">
        <v>3737464189.93</v>
      </c>
    </row>
    <row r="51" spans="2:17">
      <c r="B51" s="28" t="s">
        <v>254</v>
      </c>
      <c r="C51" s="29">
        <v>41</v>
      </c>
      <c r="D51" s="29">
        <v>1571791</v>
      </c>
      <c r="E51" s="30">
        <v>0.3005</v>
      </c>
      <c r="F51" s="29">
        <v>510064</v>
      </c>
      <c r="G51" s="31">
        <v>1.08</v>
      </c>
      <c r="H51" s="29">
        <v>0</v>
      </c>
      <c r="I51" s="32">
        <v>270.35</v>
      </c>
      <c r="J51" s="32">
        <v>137895264.6</v>
      </c>
      <c r="K51" s="32">
        <v>27579052.92</v>
      </c>
      <c r="L51" s="32">
        <v>109316211.68</v>
      </c>
      <c r="M51" s="30">
        <v>0.2378</v>
      </c>
      <c r="N51" s="29">
        <v>373694</v>
      </c>
      <c r="O51" s="32">
        <v>130792900</v>
      </c>
      <c r="P51" s="32">
        <v>4860975502.01</v>
      </c>
      <c r="Q51" s="32">
        <v>3846780401.61</v>
      </c>
    </row>
    <row r="52" spans="2:17">
      <c r="B52" t="s">
        <v>255</v>
      </c>
      <c r="C52" s="25">
        <v>42</v>
      </c>
      <c r="D52" s="25">
        <v>1580920</v>
      </c>
      <c r="E52" s="13">
        <v>0.3004</v>
      </c>
      <c r="F52" s="25">
        <v>512902</v>
      </c>
      <c r="G52" s="26">
        <v>1.08</v>
      </c>
      <c r="H52" s="25">
        <v>0</v>
      </c>
      <c r="I52" s="14">
        <v>269.66</v>
      </c>
      <c r="J52" s="27">
        <v>138310998.69</v>
      </c>
      <c r="K52" s="27">
        <v>27662199.74</v>
      </c>
      <c r="L52" s="27">
        <v>109648798.95</v>
      </c>
      <c r="M52" s="13">
        <v>0.239</v>
      </c>
      <c r="N52" s="25">
        <v>377769</v>
      </c>
      <c r="O52" s="27">
        <v>132219150</v>
      </c>
      <c r="P52" s="27">
        <v>4999286500.7</v>
      </c>
      <c r="Q52" s="27">
        <v>3956429200.56</v>
      </c>
    </row>
    <row r="53" spans="2:17">
      <c r="B53" s="28" t="s">
        <v>256</v>
      </c>
      <c r="C53" s="29">
        <v>43</v>
      </c>
      <c r="D53" s="29">
        <v>1589609</v>
      </c>
      <c r="E53" s="30">
        <v>0.3003</v>
      </c>
      <c r="F53" s="29">
        <v>515616</v>
      </c>
      <c r="G53" s="31">
        <v>1.08</v>
      </c>
      <c r="H53" s="29">
        <v>0</v>
      </c>
      <c r="I53" s="32">
        <v>268.98</v>
      </c>
      <c r="J53" s="32">
        <v>138690385.27</v>
      </c>
      <c r="K53" s="32">
        <v>27738077.05</v>
      </c>
      <c r="L53" s="32">
        <v>109952308.22</v>
      </c>
      <c r="M53" s="30">
        <v>0.24</v>
      </c>
      <c r="N53" s="29">
        <v>381583</v>
      </c>
      <c r="O53" s="32">
        <v>133554050</v>
      </c>
      <c r="P53" s="32">
        <v>5137976885.97</v>
      </c>
      <c r="Q53" s="32">
        <v>4066381508.77</v>
      </c>
    </row>
    <row r="54" spans="2:17">
      <c r="B54" t="s">
        <v>257</v>
      </c>
      <c r="C54" s="25">
        <v>44</v>
      </c>
      <c r="D54" s="25">
        <v>1597850</v>
      </c>
      <c r="E54" s="13">
        <v>0.3003</v>
      </c>
      <c r="F54" s="25">
        <v>518200</v>
      </c>
      <c r="G54" s="26">
        <v>1.08</v>
      </c>
      <c r="H54" s="25">
        <v>0</v>
      </c>
      <c r="I54" s="14">
        <v>268.3</v>
      </c>
      <c r="J54" s="27">
        <v>139032080.72</v>
      </c>
      <c r="K54" s="27">
        <v>27806416.14</v>
      </c>
      <c r="L54" s="27">
        <v>110225664.57</v>
      </c>
      <c r="M54" s="13">
        <v>0.241</v>
      </c>
      <c r="N54" s="25">
        <v>385145</v>
      </c>
      <c r="O54" s="27">
        <v>134800750</v>
      </c>
      <c r="P54" s="27">
        <v>5277008966.68</v>
      </c>
      <c r="Q54" s="27">
        <v>4176607173.35</v>
      </c>
    </row>
    <row r="55" spans="2:17">
      <c r="B55" s="28" t="s">
        <v>258</v>
      </c>
      <c r="C55" s="29">
        <v>45</v>
      </c>
      <c r="D55" s="29">
        <v>1605636</v>
      </c>
      <c r="E55" s="30">
        <v>0.3002</v>
      </c>
      <c r="F55" s="29">
        <v>520648</v>
      </c>
      <c r="G55" s="31">
        <v>1.08</v>
      </c>
      <c r="H55" s="29">
        <v>0</v>
      </c>
      <c r="I55" s="32">
        <v>267.62</v>
      </c>
      <c r="J55" s="32">
        <v>139334756.4</v>
      </c>
      <c r="K55" s="32">
        <v>27866951.28</v>
      </c>
      <c r="L55" s="32">
        <v>110467805.12</v>
      </c>
      <c r="M55" s="30">
        <v>0.2419</v>
      </c>
      <c r="N55" s="29">
        <v>388463</v>
      </c>
      <c r="O55" s="32">
        <v>135962050</v>
      </c>
      <c r="P55" s="32">
        <v>5416343723.09</v>
      </c>
      <c r="Q55" s="32">
        <v>4287074978.47</v>
      </c>
    </row>
    <row r="56" spans="2:17">
      <c r="B56" t="s">
        <v>259</v>
      </c>
      <c r="C56" s="25">
        <v>46</v>
      </c>
      <c r="D56" s="25">
        <v>1612959</v>
      </c>
      <c r="E56" s="13">
        <v>0.3002</v>
      </c>
      <c r="F56" s="25">
        <v>522958</v>
      </c>
      <c r="G56" s="26">
        <v>1.08</v>
      </c>
      <c r="H56" s="25">
        <v>0</v>
      </c>
      <c r="I56" s="14">
        <v>266.94</v>
      </c>
      <c r="J56" s="27">
        <v>139598166.35</v>
      </c>
      <c r="K56" s="27">
        <v>27919633.27</v>
      </c>
      <c r="L56" s="27">
        <v>110678533.08</v>
      </c>
      <c r="M56" s="13">
        <v>0.2427</v>
      </c>
      <c r="N56" s="25">
        <v>391544</v>
      </c>
      <c r="O56" s="27">
        <v>137040400</v>
      </c>
      <c r="P56" s="27">
        <v>5555941889.44</v>
      </c>
      <c r="Q56" s="27">
        <v>4397753511.55</v>
      </c>
    </row>
    <row r="57" spans="2:17">
      <c r="B57" s="28" t="s">
        <v>260</v>
      </c>
      <c r="C57" s="29">
        <v>47</v>
      </c>
      <c r="D57" s="29">
        <v>1619812</v>
      </c>
      <c r="E57" s="30">
        <v>0.3002</v>
      </c>
      <c r="F57" s="29">
        <v>525125</v>
      </c>
      <c r="G57" s="31">
        <v>1.08</v>
      </c>
      <c r="H57" s="29">
        <v>0</v>
      </c>
      <c r="I57" s="32">
        <v>266.26</v>
      </c>
      <c r="J57" s="32">
        <v>139821269.77</v>
      </c>
      <c r="K57" s="32">
        <v>27964253.95</v>
      </c>
      <c r="L57" s="32">
        <v>110857015.82</v>
      </c>
      <c r="M57" s="30">
        <v>0.2435</v>
      </c>
      <c r="N57" s="29">
        <v>394395</v>
      </c>
      <c r="O57" s="32">
        <v>138038250</v>
      </c>
      <c r="P57" s="32">
        <v>5695763159.21</v>
      </c>
      <c r="Q57" s="32">
        <v>4508610527.37</v>
      </c>
    </row>
    <row r="58" spans="2:17">
      <c r="B58" t="s">
        <v>261</v>
      </c>
      <c r="C58" s="25">
        <v>48</v>
      </c>
      <c r="D58" s="25">
        <v>1626190</v>
      </c>
      <c r="E58" s="13">
        <v>0.3001</v>
      </c>
      <c r="F58" s="25">
        <v>527145</v>
      </c>
      <c r="G58" s="26">
        <v>1.08</v>
      </c>
      <c r="H58" s="25">
        <v>0</v>
      </c>
      <c r="I58" s="14">
        <v>265.59</v>
      </c>
      <c r="J58" s="27">
        <v>140003303.5</v>
      </c>
      <c r="K58" s="27">
        <v>28000660.7</v>
      </c>
      <c r="L58" s="27">
        <v>111002642.8</v>
      </c>
      <c r="M58" s="13">
        <v>0.2441</v>
      </c>
      <c r="N58" s="25">
        <v>397025</v>
      </c>
      <c r="O58" s="27">
        <v>138958750</v>
      </c>
      <c r="P58" s="27">
        <v>5835766462.71</v>
      </c>
      <c r="Q58" s="27">
        <v>4619613170.17</v>
      </c>
    </row>
    <row r="59" spans="2:17">
      <c r="B59" s="28" t="s">
        <v>262</v>
      </c>
      <c r="C59" s="29">
        <v>49</v>
      </c>
      <c r="D59" s="29">
        <v>1632087</v>
      </c>
      <c r="E59" s="30">
        <v>0.3001</v>
      </c>
      <c r="F59" s="29">
        <v>529017</v>
      </c>
      <c r="G59" s="31">
        <v>1.08</v>
      </c>
      <c r="H59" s="29">
        <v>0</v>
      </c>
      <c r="I59" s="32">
        <v>264.91</v>
      </c>
      <c r="J59" s="32">
        <v>140144308.38</v>
      </c>
      <c r="K59" s="32">
        <v>28028861.68</v>
      </c>
      <c r="L59" s="32">
        <v>111115446.71</v>
      </c>
      <c r="M59" s="30">
        <v>0.2447</v>
      </c>
      <c r="N59" s="29">
        <v>399438</v>
      </c>
      <c r="O59" s="32">
        <v>139803300</v>
      </c>
      <c r="P59" s="32">
        <v>5975910771.09</v>
      </c>
      <c r="Q59" s="32">
        <v>4730728616.87</v>
      </c>
    </row>
    <row r="60" spans="2:17">
      <c r="B60" t="s">
        <v>263</v>
      </c>
      <c r="C60" s="25">
        <v>50</v>
      </c>
      <c r="D60" s="25">
        <v>1637496</v>
      </c>
      <c r="E60" s="13">
        <v>0.3001</v>
      </c>
      <c r="F60" s="25">
        <v>530735</v>
      </c>
      <c r="G60" s="26">
        <v>1.08</v>
      </c>
      <c r="H60" s="25">
        <v>0</v>
      </c>
      <c r="I60" s="14">
        <v>264.24</v>
      </c>
      <c r="J60" s="27">
        <v>140243005.21</v>
      </c>
      <c r="K60" s="27">
        <v>28048601.04</v>
      </c>
      <c r="L60" s="27">
        <v>111194404.17</v>
      </c>
      <c r="M60" s="13">
        <v>0.2453</v>
      </c>
      <c r="N60" s="25">
        <v>401642</v>
      </c>
      <c r="O60" s="27">
        <v>140574700</v>
      </c>
      <c r="P60" s="27">
        <v>6116153776.3</v>
      </c>
      <c r="Q60" s="27">
        <v>4841923021.04</v>
      </c>
    </row>
    <row r="61" spans="2:17">
      <c r="B61" s="28" t="s">
        <v>264</v>
      </c>
      <c r="C61" s="29">
        <v>51</v>
      </c>
      <c r="D61" s="29">
        <v>1642413</v>
      </c>
      <c r="E61" s="30">
        <v>0.3001</v>
      </c>
      <c r="F61" s="29">
        <v>532300</v>
      </c>
      <c r="G61" s="31">
        <v>1.08</v>
      </c>
      <c r="H61" s="29">
        <v>0</v>
      </c>
      <c r="I61" s="32">
        <v>263.57</v>
      </c>
      <c r="J61" s="32">
        <v>140299974.32</v>
      </c>
      <c r="K61" s="32">
        <v>28059994.86</v>
      </c>
      <c r="L61" s="32">
        <v>111239979.45</v>
      </c>
      <c r="M61" s="30">
        <v>0.2458</v>
      </c>
      <c r="N61" s="29">
        <v>403644</v>
      </c>
      <c r="O61" s="32">
        <v>141275400</v>
      </c>
      <c r="P61" s="32">
        <v>6256453750.62</v>
      </c>
      <c r="Q61" s="32">
        <v>4953163000.49</v>
      </c>
    </row>
    <row r="62" spans="2:17">
      <c r="B62" t="s">
        <v>265</v>
      </c>
      <c r="C62" s="25">
        <v>52</v>
      </c>
      <c r="D62" s="25">
        <v>1646832</v>
      </c>
      <c r="E62" s="13">
        <v>0.3001</v>
      </c>
      <c r="F62" s="25">
        <v>533709</v>
      </c>
      <c r="G62" s="26">
        <v>1.08</v>
      </c>
      <c r="H62" s="25">
        <v>0</v>
      </c>
      <c r="I62" s="14">
        <v>262.9</v>
      </c>
      <c r="J62" s="27">
        <v>140314740.14</v>
      </c>
      <c r="K62" s="27">
        <v>28062948.03</v>
      </c>
      <c r="L62" s="27">
        <v>111251792.11</v>
      </c>
      <c r="M62" s="13">
        <v>0.2462</v>
      </c>
      <c r="N62" s="25">
        <v>405447</v>
      </c>
      <c r="O62" s="27">
        <v>141906450</v>
      </c>
      <c r="P62" s="27">
        <v>6396768490.76</v>
      </c>
      <c r="Q62" s="27">
        <v>5064414792.61</v>
      </c>
    </row>
    <row r="63" spans="2:17">
      <c r="B63" s="28" t="s">
        <v>266</v>
      </c>
      <c r="C63" s="29">
        <v>53</v>
      </c>
      <c r="D63" s="29">
        <v>1650751</v>
      </c>
      <c r="E63" s="30">
        <v>0.3001</v>
      </c>
      <c r="F63" s="29">
        <v>534957</v>
      </c>
      <c r="G63" s="31">
        <v>1.08</v>
      </c>
      <c r="H63" s="29">
        <v>0</v>
      </c>
      <c r="I63" s="32">
        <v>262.24</v>
      </c>
      <c r="J63" s="32">
        <v>140286309.07</v>
      </c>
      <c r="K63" s="32">
        <v>28057261.81</v>
      </c>
      <c r="L63" s="32">
        <v>111229047.26</v>
      </c>
      <c r="M63" s="30">
        <v>0.2466</v>
      </c>
      <c r="N63" s="29">
        <v>407059</v>
      </c>
      <c r="O63" s="32">
        <v>142470650</v>
      </c>
      <c r="P63" s="32">
        <v>6537054799.83</v>
      </c>
      <c r="Q63" s="32">
        <v>5175643839.87</v>
      </c>
    </row>
    <row r="64" spans="2:17">
      <c r="B64" t="s">
        <v>267</v>
      </c>
      <c r="C64" s="25">
        <v>54</v>
      </c>
      <c r="D64" s="25">
        <v>1654164</v>
      </c>
      <c r="E64" s="13">
        <v>0.3001</v>
      </c>
      <c r="F64" s="25">
        <v>536046</v>
      </c>
      <c r="G64" s="26">
        <v>1.08</v>
      </c>
      <c r="H64" s="25">
        <v>0</v>
      </c>
      <c r="I64" s="14">
        <v>261.57</v>
      </c>
      <c r="J64" s="27">
        <v>140215530.21</v>
      </c>
      <c r="K64" s="27">
        <v>28043106.04</v>
      </c>
      <c r="L64" s="27">
        <v>111172424.17</v>
      </c>
      <c r="M64" s="13">
        <v>0.2469</v>
      </c>
      <c r="N64" s="25">
        <v>408483</v>
      </c>
      <c r="O64" s="27">
        <v>142969050</v>
      </c>
      <c r="P64" s="27">
        <v>6677270330.04</v>
      </c>
      <c r="Q64" s="27">
        <v>5286816264.03</v>
      </c>
    </row>
    <row r="65" spans="2:17">
      <c r="B65" s="28" t="s">
        <v>268</v>
      </c>
      <c r="C65" s="29">
        <v>55</v>
      </c>
      <c r="D65" s="29">
        <v>1657070</v>
      </c>
      <c r="E65" s="30">
        <v>0.3</v>
      </c>
      <c r="F65" s="29">
        <v>536972</v>
      </c>
      <c r="G65" s="31">
        <v>1.08</v>
      </c>
      <c r="H65" s="29">
        <v>0</v>
      </c>
      <c r="I65" s="32">
        <v>260.91</v>
      </c>
      <c r="J65" s="32">
        <v>140101680.23</v>
      </c>
      <c r="K65" s="32">
        <v>28020336.05</v>
      </c>
      <c r="L65" s="32">
        <v>111081344.18</v>
      </c>
      <c r="M65" s="30">
        <v>0.2473</v>
      </c>
      <c r="N65" s="29">
        <v>409724</v>
      </c>
      <c r="O65" s="32">
        <v>143403400</v>
      </c>
      <c r="P65" s="32">
        <v>6817372010.27</v>
      </c>
      <c r="Q65" s="32">
        <v>5397897608.21</v>
      </c>
    </row>
    <row r="66" spans="2:17">
      <c r="B66" t="s">
        <v>269</v>
      </c>
      <c r="C66" s="25">
        <v>56</v>
      </c>
      <c r="D66" s="25">
        <v>1659464</v>
      </c>
      <c r="E66" s="13">
        <v>0.3</v>
      </c>
      <c r="F66" s="25">
        <v>537736</v>
      </c>
      <c r="G66" s="26">
        <v>1.08</v>
      </c>
      <c r="H66" s="25">
        <v>0</v>
      </c>
      <c r="I66" s="14">
        <v>260.25</v>
      </c>
      <c r="J66" s="27">
        <v>139945346.02</v>
      </c>
      <c r="K66" s="27">
        <v>27989069.2</v>
      </c>
      <c r="L66" s="27">
        <v>110956276.82</v>
      </c>
      <c r="M66" s="13">
        <v>0.2475</v>
      </c>
      <c r="N66" s="25">
        <v>410788</v>
      </c>
      <c r="O66" s="27">
        <v>143775800</v>
      </c>
      <c r="P66" s="27">
        <v>6957317356.29</v>
      </c>
      <c r="Q66" s="27">
        <v>5508853885.03</v>
      </c>
    </row>
    <row r="67" spans="2:17">
      <c r="B67" s="28" t="s">
        <v>270</v>
      </c>
      <c r="C67" s="29">
        <v>57</v>
      </c>
      <c r="D67" s="29">
        <v>1661345</v>
      </c>
      <c r="E67" s="30">
        <v>0.3</v>
      </c>
      <c r="F67" s="29">
        <v>538334</v>
      </c>
      <c r="G67" s="31">
        <v>1.08</v>
      </c>
      <c r="H67" s="29">
        <v>0</v>
      </c>
      <c r="I67" s="32">
        <v>259.59</v>
      </c>
      <c r="J67" s="32">
        <v>139745812.24</v>
      </c>
      <c r="K67" s="32">
        <v>27949162.45</v>
      </c>
      <c r="L67" s="32">
        <v>110796649.79</v>
      </c>
      <c r="M67" s="30">
        <v>0.2478</v>
      </c>
      <c r="N67" s="29">
        <v>411677</v>
      </c>
      <c r="O67" s="32">
        <v>144086950</v>
      </c>
      <c r="P67" s="32">
        <v>7097063168.53</v>
      </c>
      <c r="Q67" s="32">
        <v>5619650534.82</v>
      </c>
    </row>
    <row r="68" spans="2:17">
      <c r="B68" t="s">
        <v>271</v>
      </c>
      <c r="C68" s="25">
        <v>58</v>
      </c>
      <c r="D68" s="25">
        <v>1662710</v>
      </c>
      <c r="E68" s="13">
        <v>0.3</v>
      </c>
      <c r="F68" s="25">
        <v>538767</v>
      </c>
      <c r="G68" s="26">
        <v>1.08</v>
      </c>
      <c r="H68" s="25">
        <v>0</v>
      </c>
      <c r="I68" s="14">
        <v>258.93</v>
      </c>
      <c r="J68" s="27">
        <v>139503667.09</v>
      </c>
      <c r="K68" s="27">
        <v>27900733.42</v>
      </c>
      <c r="L68" s="27">
        <v>110602933.67</v>
      </c>
      <c r="M68" s="13">
        <v>0.248</v>
      </c>
      <c r="N68" s="25">
        <v>412396</v>
      </c>
      <c r="O68" s="27">
        <v>144338600</v>
      </c>
      <c r="P68" s="27">
        <v>7236566835.61</v>
      </c>
      <c r="Q68" s="27">
        <v>5730253468.49</v>
      </c>
    </row>
    <row r="69" spans="2:17">
      <c r="B69" s="28" t="s">
        <v>272</v>
      </c>
      <c r="C69" s="29">
        <v>59</v>
      </c>
      <c r="D69" s="29">
        <v>1663559</v>
      </c>
      <c r="E69" s="30">
        <v>0.3</v>
      </c>
      <c r="F69" s="29">
        <v>539035</v>
      </c>
      <c r="G69" s="31">
        <v>1.08</v>
      </c>
      <c r="H69" s="29">
        <v>0</v>
      </c>
      <c r="I69" s="32">
        <v>258.27</v>
      </c>
      <c r="J69" s="32">
        <v>139219236.19</v>
      </c>
      <c r="K69" s="32">
        <v>27843847.24</v>
      </c>
      <c r="L69" s="32">
        <v>110375388.96</v>
      </c>
      <c r="M69" s="30">
        <v>0.2482</v>
      </c>
      <c r="N69" s="29">
        <v>412948</v>
      </c>
      <c r="O69" s="32">
        <v>144531800</v>
      </c>
      <c r="P69" s="32">
        <v>7375786071.81</v>
      </c>
      <c r="Q69" s="32">
        <v>5840628857.45</v>
      </c>
    </row>
  </sheetData>
  <mergeCells count="12">
    <mergeCell ref="B2:M2"/>
    <mergeCell ref="B4:C4"/>
    <mergeCell ref="B5:C5"/>
    <mergeCell ref="D4:E4"/>
    <mergeCell ref="D5:E5"/>
    <mergeCell ref="F4:G4"/>
    <mergeCell ref="F5:G5"/>
    <mergeCell ref="H4:I4"/>
    <mergeCell ref="H5:I5"/>
    <mergeCell ref="J4:K4"/>
    <mergeCell ref="J5:K5"/>
    <mergeCell ref="B7:G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366F1"/>
  </sheetPr>
  <dimension ref="B2:E24"/>
  <sheetViews>
    <sheetView showGridLines="0" workbookViewId="0"/>
  </sheetViews>
  <sheetFormatPr defaultRowHeight="15"/>
  <cols>
    <col min="1" max="1" width="3.7109375" customWidth="1"/>
    <col min="2" max="2" width="38.7109375" customWidth="1"/>
    <col min="3" max="5" width="22.7109375" customWidth="1"/>
  </cols>
  <sheetData>
    <row r="2" spans="2:5">
      <c r="B2" s="1" t="s">
        <v>274</v>
      </c>
      <c r="C2" s="1"/>
      <c r="D2" s="1"/>
      <c r="E2" s="1"/>
    </row>
    <row r="4" spans="2:5">
      <c r="B4" s="3" t="s">
        <v>275</v>
      </c>
      <c r="C4" s="3"/>
      <c r="D4" s="3"/>
    </row>
    <row r="5" spans="2:5">
      <c r="B5" s="11"/>
      <c r="C5" s="24" t="s">
        <v>276</v>
      </c>
      <c r="D5" s="35" t="s">
        <v>277</v>
      </c>
    </row>
    <row r="6" spans="2:5">
      <c r="B6" s="4" t="s">
        <v>191</v>
      </c>
      <c r="C6" s="27">
        <v>507948036.97</v>
      </c>
      <c r="D6" s="27">
        <v>1065068332.52</v>
      </c>
    </row>
    <row r="7" spans="2:5">
      <c r="B7" s="4" t="s">
        <v>278</v>
      </c>
      <c r="C7" s="27">
        <v>5765745608.79</v>
      </c>
      <c r="D7" s="27">
        <v>7375786071.809999</v>
      </c>
    </row>
    <row r="8" spans="2:5">
      <c r="B8" s="4" t="s">
        <v>279</v>
      </c>
      <c r="C8" s="27">
        <v>4552596487.01</v>
      </c>
      <c r="D8" s="27">
        <v>5840628857.49</v>
      </c>
    </row>
    <row r="9" spans="2:5">
      <c r="B9" s="4" t="s">
        <v>193</v>
      </c>
      <c r="C9" s="13">
        <v>0.2482</v>
      </c>
      <c r="D9" s="13">
        <v>0.3528</v>
      </c>
    </row>
    <row r="10" spans="2:5">
      <c r="B10" s="4" t="s">
        <v>280</v>
      </c>
      <c r="C10" s="13">
        <v>0.1335</v>
      </c>
      <c r="D10" s="13">
        <v>0.3325</v>
      </c>
    </row>
    <row r="11" spans="2:5">
      <c r="B11" s="4" t="s">
        <v>281</v>
      </c>
      <c r="C11" s="13">
        <v>0.2277</v>
      </c>
      <c r="D11" s="13">
        <v>0.3013</v>
      </c>
    </row>
    <row r="12" spans="2:5">
      <c r="B12" s="4" t="s">
        <v>282</v>
      </c>
      <c r="C12" s="13">
        <v>0.2482</v>
      </c>
      <c r="D12" s="13">
        <v>0.3</v>
      </c>
    </row>
    <row r="13" spans="2:5">
      <c r="B13" s="4" t="s">
        <v>283</v>
      </c>
      <c r="C13" s="27">
        <v>325.0635</v>
      </c>
      <c r="D13" s="27">
        <v>278.6256666666667</v>
      </c>
    </row>
    <row r="14" spans="2:5">
      <c r="B14" s="4" t="s">
        <v>284</v>
      </c>
      <c r="C14" s="26">
        <v>1.055333333333333</v>
      </c>
      <c r="D14" s="26">
        <v>1.055333333333333</v>
      </c>
    </row>
    <row r="17" spans="2:5">
      <c r="B17" s="3" t="s">
        <v>285</v>
      </c>
      <c r="C17" s="3"/>
      <c r="D17" s="3"/>
      <c r="E17" s="3"/>
    </row>
    <row r="18" spans="2:5">
      <c r="C18" s="11" t="s">
        <v>100</v>
      </c>
      <c r="D18" s="24" t="s">
        <v>101</v>
      </c>
      <c r="E18" s="35" t="s">
        <v>102</v>
      </c>
    </row>
    <row r="19" spans="2:5">
      <c r="B19" s="4" t="s">
        <v>191</v>
      </c>
      <c r="C19" s="27">
        <v>507948036.97</v>
      </c>
      <c r="D19" s="27">
        <v>701514563.75</v>
      </c>
      <c r="E19" s="27">
        <v>414629438.6</v>
      </c>
    </row>
    <row r="20" spans="2:5">
      <c r="B20" s="4" t="s">
        <v>278</v>
      </c>
      <c r="C20" s="27">
        <v>5765745608.79</v>
      </c>
      <c r="D20" s="27">
        <v>14114890403.81</v>
      </c>
      <c r="E20" s="27">
        <v>3784623912.26</v>
      </c>
    </row>
    <row r="21" spans="2:5">
      <c r="B21" s="4" t="s">
        <v>279</v>
      </c>
      <c r="C21" s="27">
        <v>4552596487.01</v>
      </c>
      <c r="D21" s="27">
        <v>11231912323.03</v>
      </c>
      <c r="E21" s="27">
        <v>2967699129.81</v>
      </c>
    </row>
    <row r="22" spans="2:5">
      <c r="B22" s="4" t="s">
        <v>193</v>
      </c>
      <c r="C22" s="13">
        <v>0.2482</v>
      </c>
      <c r="D22" s="13">
        <v>0.3499</v>
      </c>
      <c r="E22" s="13">
        <v>0.1464</v>
      </c>
    </row>
    <row r="23" spans="2:5">
      <c r="B23" s="4" t="s">
        <v>280</v>
      </c>
      <c r="C23" s="13">
        <v>0.1335</v>
      </c>
      <c r="D23" s="13">
        <v>0.2038</v>
      </c>
      <c r="E23" s="13">
        <v>0.0977</v>
      </c>
    </row>
    <row r="24" spans="2:5">
      <c r="B24" s="4" t="s">
        <v>286</v>
      </c>
      <c r="C24" s="26">
        <v>1.751114736842105</v>
      </c>
      <c r="D24" s="26">
        <v>2.126895789473684</v>
      </c>
      <c r="E24" s="26">
        <v>1.933346315789474</v>
      </c>
    </row>
  </sheetData>
  <mergeCells count="3">
    <mergeCell ref="B2:E2"/>
    <mergeCell ref="B4:D4"/>
    <mergeCell ref="B17:E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366F1"/>
  </sheetPr>
  <dimension ref="B2:E69"/>
  <sheetViews>
    <sheetView showGridLines="0" workbookViewId="0"/>
  </sheetViews>
  <sheetFormatPr defaultRowHeight="15"/>
  <cols>
    <col min="1" max="1" width="3.7109375" customWidth="1"/>
    <col min="2" max="2" width="34.7109375" customWidth="1"/>
    <col min="3" max="3" width="24.7109375" customWidth="1"/>
    <col min="4" max="4" width="52.7109375" customWidth="1"/>
    <col min="5" max="5" width="42.7109375" customWidth="1"/>
  </cols>
  <sheetData>
    <row r="2" spans="2:5">
      <c r="B2" s="1" t="s">
        <v>287</v>
      </c>
      <c r="C2" s="1"/>
      <c r="D2" s="1"/>
      <c r="E2" s="1"/>
    </row>
    <row r="3" spans="2:5">
      <c r="B3" s="2" t="s">
        <v>288</v>
      </c>
      <c r="C3" s="2"/>
      <c r="D3" s="2"/>
      <c r="E3" s="2"/>
    </row>
    <row r="5" spans="2:5">
      <c r="B5" s="4" t="s">
        <v>289</v>
      </c>
      <c r="C5" s="15" t="s">
        <v>290</v>
      </c>
      <c r="D5" s="12" t="s">
        <v>291</v>
      </c>
    </row>
    <row r="6" spans="2:5">
      <c r="C6" s="17" t="s">
        <v>292</v>
      </c>
      <c r="D6" s="12" t="s">
        <v>293</v>
      </c>
    </row>
    <row r="7" spans="2:5">
      <c r="C7" s="16" t="s">
        <v>294</v>
      </c>
      <c r="D7" s="12" t="s">
        <v>295</v>
      </c>
    </row>
    <row r="8" spans="2:5">
      <c r="C8" s="36" t="s">
        <v>296</v>
      </c>
      <c r="D8" s="12" t="s">
        <v>297</v>
      </c>
    </row>
    <row r="10" spans="2:5">
      <c r="B10" s="3" t="s">
        <v>298</v>
      </c>
      <c r="C10" s="3"/>
      <c r="D10" s="3"/>
      <c r="E10" s="3"/>
    </row>
    <row r="11" spans="2:5">
      <c r="B11" s="11" t="s">
        <v>299</v>
      </c>
      <c r="C11" s="11" t="s">
        <v>300</v>
      </c>
      <c r="D11" s="11" t="s">
        <v>301</v>
      </c>
      <c r="E11" s="11" t="s">
        <v>302</v>
      </c>
    </row>
    <row r="12" spans="2:5">
      <c r="B12" s="4" t="s">
        <v>303</v>
      </c>
      <c r="C12" s="15" t="s">
        <v>304</v>
      </c>
      <c r="D12" s="12" t="s">
        <v>305</v>
      </c>
      <c r="E12" s="15" t="s">
        <v>290</v>
      </c>
    </row>
    <row r="13" spans="2:5">
      <c r="B13" s="4" t="s">
        <v>11</v>
      </c>
      <c r="C13" s="15" t="s">
        <v>306</v>
      </c>
      <c r="D13" s="12" t="s">
        <v>307</v>
      </c>
      <c r="E13" s="15" t="s">
        <v>290</v>
      </c>
    </row>
    <row r="14" spans="2:5">
      <c r="B14" s="4" t="s">
        <v>308</v>
      </c>
      <c r="C14" s="15" t="s">
        <v>309</v>
      </c>
      <c r="D14" s="12" t="s">
        <v>310</v>
      </c>
      <c r="E14" s="15" t="s">
        <v>290</v>
      </c>
    </row>
    <row r="15" spans="2:5">
      <c r="B15" s="4" t="s">
        <v>311</v>
      </c>
      <c r="C15" s="15" t="s">
        <v>312</v>
      </c>
      <c r="D15" s="12" t="s">
        <v>310</v>
      </c>
      <c r="E15" s="15" t="s">
        <v>290</v>
      </c>
    </row>
    <row r="16" spans="2:5">
      <c r="B16" s="4" t="s">
        <v>313</v>
      </c>
      <c r="C16" s="15" t="s">
        <v>314</v>
      </c>
      <c r="D16" s="12" t="s">
        <v>315</v>
      </c>
      <c r="E16" s="15" t="s">
        <v>290</v>
      </c>
    </row>
    <row r="17" spans="2:5">
      <c r="B17" s="4" t="s">
        <v>316</v>
      </c>
      <c r="C17" s="15" t="s">
        <v>317</v>
      </c>
      <c r="D17" s="12" t="s">
        <v>318</v>
      </c>
      <c r="E17" s="15" t="s">
        <v>290</v>
      </c>
    </row>
    <row r="18" spans="2:5">
      <c r="B18" s="4" t="s">
        <v>319</v>
      </c>
      <c r="C18" s="15" t="s">
        <v>320</v>
      </c>
      <c r="D18" s="12" t="s">
        <v>321</v>
      </c>
      <c r="E18" s="15" t="s">
        <v>290</v>
      </c>
    </row>
    <row r="19" spans="2:5">
      <c r="B19" s="4" t="s">
        <v>322</v>
      </c>
      <c r="C19" s="15" t="s">
        <v>323</v>
      </c>
      <c r="D19" s="12" t="s">
        <v>324</v>
      </c>
      <c r="E19" s="15" t="s">
        <v>290</v>
      </c>
    </row>
    <row r="20" spans="2:5">
      <c r="B20" s="4" t="s">
        <v>325</v>
      </c>
      <c r="C20" s="15" t="s">
        <v>326</v>
      </c>
      <c r="D20" s="12" t="s">
        <v>327</v>
      </c>
      <c r="E20" s="15" t="s">
        <v>290</v>
      </c>
    </row>
    <row r="21" spans="2:5">
      <c r="B21" s="4" t="s">
        <v>328</v>
      </c>
      <c r="C21" s="15" t="s">
        <v>329</v>
      </c>
      <c r="D21" s="12" t="s">
        <v>330</v>
      </c>
      <c r="E21" s="15" t="s">
        <v>290</v>
      </c>
    </row>
    <row r="22" spans="2:5">
      <c r="B22" s="4" t="s">
        <v>331</v>
      </c>
      <c r="C22" s="15" t="s">
        <v>332</v>
      </c>
      <c r="D22" s="12" t="s">
        <v>333</v>
      </c>
      <c r="E22" s="15" t="s">
        <v>290</v>
      </c>
    </row>
    <row r="23" spans="2:5">
      <c r="B23" s="4" t="s">
        <v>334</v>
      </c>
      <c r="C23" s="15" t="s">
        <v>335</v>
      </c>
      <c r="D23" s="12" t="s">
        <v>336</v>
      </c>
      <c r="E23" s="15" t="s">
        <v>290</v>
      </c>
    </row>
    <row r="25" spans="2:5">
      <c r="B25" s="3" t="s">
        <v>337</v>
      </c>
      <c r="C25" s="3"/>
      <c r="D25" s="3"/>
      <c r="E25" s="3"/>
    </row>
    <row r="26" spans="2:5">
      <c r="B26" s="11" t="s">
        <v>99</v>
      </c>
      <c r="C26" s="11" t="s">
        <v>338</v>
      </c>
      <c r="D26" s="11" t="s">
        <v>339</v>
      </c>
      <c r="E26" s="11" t="s">
        <v>302</v>
      </c>
    </row>
    <row r="27" spans="2:5">
      <c r="B27" s="4" t="s">
        <v>19</v>
      </c>
      <c r="C27" s="17" t="s">
        <v>340</v>
      </c>
      <c r="D27" s="12" t="s">
        <v>341</v>
      </c>
      <c r="E27" s="17" t="s">
        <v>292</v>
      </c>
    </row>
    <row r="28" spans="2:5">
      <c r="B28" s="4" t="s">
        <v>103</v>
      </c>
      <c r="C28" s="17" t="s">
        <v>340</v>
      </c>
      <c r="D28" s="12" t="s">
        <v>342</v>
      </c>
      <c r="E28" s="17" t="s">
        <v>292</v>
      </c>
    </row>
    <row r="29" spans="2:5">
      <c r="B29" s="4" t="s">
        <v>104</v>
      </c>
      <c r="C29" s="17" t="s">
        <v>343</v>
      </c>
      <c r="D29" s="12" t="s">
        <v>344</v>
      </c>
      <c r="E29" s="17" t="s">
        <v>292</v>
      </c>
    </row>
    <row r="30" spans="2:5">
      <c r="B30" s="4" t="s">
        <v>35</v>
      </c>
      <c r="C30" s="17" t="s">
        <v>345</v>
      </c>
      <c r="D30" s="12" t="s">
        <v>346</v>
      </c>
      <c r="E30" s="17" t="s">
        <v>292</v>
      </c>
    </row>
    <row r="31" spans="2:5">
      <c r="B31" s="4" t="s">
        <v>106</v>
      </c>
      <c r="C31" s="17" t="s">
        <v>347</v>
      </c>
      <c r="D31" s="12" t="s">
        <v>348</v>
      </c>
      <c r="E31" s="17" t="s">
        <v>292</v>
      </c>
    </row>
    <row r="32" spans="2:5">
      <c r="B32" s="4" t="s">
        <v>107</v>
      </c>
      <c r="C32" s="17" t="s">
        <v>349</v>
      </c>
      <c r="D32" s="12" t="s">
        <v>350</v>
      </c>
      <c r="E32" s="17" t="s">
        <v>292</v>
      </c>
    </row>
    <row r="33" spans="2:5">
      <c r="B33" s="4" t="s">
        <v>110</v>
      </c>
      <c r="C33" s="17" t="s">
        <v>351</v>
      </c>
      <c r="D33" s="12" t="s">
        <v>352</v>
      </c>
      <c r="E33" s="17" t="s">
        <v>292</v>
      </c>
    </row>
    <row r="34" spans="2:5">
      <c r="B34" s="4" t="s">
        <v>353</v>
      </c>
      <c r="C34" s="17" t="s">
        <v>354</v>
      </c>
      <c r="D34" s="12" t="s">
        <v>355</v>
      </c>
      <c r="E34" s="17" t="s">
        <v>292</v>
      </c>
    </row>
    <row r="35" spans="2:5">
      <c r="B35" s="4" t="s">
        <v>356</v>
      </c>
      <c r="C35" s="17" t="s">
        <v>357</v>
      </c>
      <c r="D35" s="12" t="s">
        <v>358</v>
      </c>
      <c r="E35" s="17" t="s">
        <v>292</v>
      </c>
    </row>
    <row r="36" spans="2:5">
      <c r="B36" s="4" t="s">
        <v>359</v>
      </c>
      <c r="C36" s="17" t="s">
        <v>360</v>
      </c>
      <c r="D36" s="12" t="s">
        <v>361</v>
      </c>
      <c r="E36" s="17" t="s">
        <v>292</v>
      </c>
    </row>
    <row r="38" spans="2:5">
      <c r="B38" s="3" t="s">
        <v>362</v>
      </c>
      <c r="C38" s="3"/>
      <c r="D38" s="3"/>
      <c r="E38" s="3"/>
    </row>
    <row r="39" spans="2:5">
      <c r="B39" s="11" t="s">
        <v>363</v>
      </c>
      <c r="C39" s="11" t="s">
        <v>364</v>
      </c>
      <c r="D39" s="11" t="s">
        <v>365</v>
      </c>
      <c r="E39" s="11" t="s">
        <v>302</v>
      </c>
    </row>
    <row r="40" spans="2:5" ht="40" customHeight="1">
      <c r="B40" s="4" t="s">
        <v>366</v>
      </c>
      <c r="C40" s="16" t="s">
        <v>367</v>
      </c>
      <c r="D40" s="12" t="s">
        <v>368</v>
      </c>
      <c r="E40" s="16" t="s">
        <v>294</v>
      </c>
    </row>
    <row r="41" spans="2:5" ht="40" customHeight="1">
      <c r="B41" s="4" t="s">
        <v>369</v>
      </c>
      <c r="C41" s="16" t="s">
        <v>370</v>
      </c>
      <c r="D41" s="12" t="s">
        <v>371</v>
      </c>
      <c r="E41" s="16" t="s">
        <v>294</v>
      </c>
    </row>
    <row r="42" spans="2:5" ht="40" customHeight="1">
      <c r="B42" s="4" t="s">
        <v>372</v>
      </c>
      <c r="C42" s="16" t="s">
        <v>373</v>
      </c>
      <c r="D42" s="12" t="s">
        <v>374</v>
      </c>
      <c r="E42" s="16" t="s">
        <v>294</v>
      </c>
    </row>
    <row r="43" spans="2:5" ht="40" customHeight="1">
      <c r="B43" s="4" t="s">
        <v>375</v>
      </c>
      <c r="C43" s="16" t="s">
        <v>376</v>
      </c>
      <c r="D43" s="12" t="s">
        <v>377</v>
      </c>
      <c r="E43" s="16" t="s">
        <v>294</v>
      </c>
    </row>
    <row r="44" spans="2:5" ht="40" customHeight="1">
      <c r="B44" s="4" t="s">
        <v>378</v>
      </c>
      <c r="C44" s="16" t="s">
        <v>379</v>
      </c>
      <c r="D44" s="12" t="s">
        <v>380</v>
      </c>
      <c r="E44" s="16" t="s">
        <v>294</v>
      </c>
    </row>
    <row r="46" spans="2:5">
      <c r="B46" s="3" t="s">
        <v>381</v>
      </c>
      <c r="C46" s="3"/>
      <c r="D46" s="3"/>
      <c r="E46" s="3"/>
    </row>
    <row r="47" spans="2:5">
      <c r="B47" s="11" t="s">
        <v>382</v>
      </c>
      <c r="C47" s="11" t="s">
        <v>383</v>
      </c>
      <c r="D47" s="11" t="s">
        <v>384</v>
      </c>
      <c r="E47" s="11" t="s">
        <v>302</v>
      </c>
    </row>
    <row r="48" spans="2:5">
      <c r="B48" s="4" t="s">
        <v>385</v>
      </c>
      <c r="C48" s="36" t="s">
        <v>386</v>
      </c>
      <c r="D48" s="12" t="s">
        <v>387</v>
      </c>
      <c r="E48" s="36" t="s">
        <v>296</v>
      </c>
    </row>
    <row r="49" spans="2:5">
      <c r="B49" s="4" t="s">
        <v>388</v>
      </c>
      <c r="C49" s="36" t="s">
        <v>389</v>
      </c>
      <c r="D49" s="12" t="s">
        <v>390</v>
      </c>
      <c r="E49" s="36" t="s">
        <v>296</v>
      </c>
    </row>
    <row r="50" spans="2:5">
      <c r="B50" s="4" t="s">
        <v>391</v>
      </c>
      <c r="C50" s="36" t="s">
        <v>392</v>
      </c>
      <c r="D50" s="12" t="s">
        <v>393</v>
      </c>
      <c r="E50" s="36" t="s">
        <v>296</v>
      </c>
    </row>
    <row r="51" spans="2:5">
      <c r="B51" s="4" t="s">
        <v>394</v>
      </c>
      <c r="C51" s="36" t="s">
        <v>395</v>
      </c>
      <c r="D51" s="12" t="s">
        <v>396</v>
      </c>
      <c r="E51" s="36" t="s">
        <v>296</v>
      </c>
    </row>
    <row r="52" spans="2:5">
      <c r="B52" s="4" t="s">
        <v>397</v>
      </c>
      <c r="C52" s="36" t="s">
        <v>398</v>
      </c>
      <c r="D52" s="12" t="s">
        <v>399</v>
      </c>
      <c r="E52" s="36" t="s">
        <v>296</v>
      </c>
    </row>
    <row r="53" spans="2:5">
      <c r="B53" s="4" t="s">
        <v>400</v>
      </c>
      <c r="C53" s="36" t="s">
        <v>401</v>
      </c>
      <c r="D53" s="12" t="s">
        <v>402</v>
      </c>
      <c r="E53" s="36" t="s">
        <v>296</v>
      </c>
    </row>
    <row r="54" spans="2:5">
      <c r="B54" s="4" t="s">
        <v>403</v>
      </c>
      <c r="C54" s="36" t="s">
        <v>404</v>
      </c>
      <c r="D54" s="12" t="s">
        <v>405</v>
      </c>
      <c r="E54" s="36" t="s">
        <v>296</v>
      </c>
    </row>
    <row r="57" spans="2:5">
      <c r="B57" s="3" t="s">
        <v>406</v>
      </c>
      <c r="C57" s="3"/>
      <c r="D57" s="3"/>
      <c r="E57" s="3"/>
    </row>
    <row r="58" spans="2:5">
      <c r="B58" s="11" t="s">
        <v>137</v>
      </c>
      <c r="C58" s="11" t="s">
        <v>407</v>
      </c>
      <c r="D58" s="11" t="s">
        <v>408</v>
      </c>
    </row>
    <row r="59" spans="2:5">
      <c r="B59" s="4" t="s">
        <v>409</v>
      </c>
      <c r="C59" s="12" t="s">
        <v>410</v>
      </c>
      <c r="D59" s="12" t="s">
        <v>411</v>
      </c>
    </row>
    <row r="60" spans="2:5">
      <c r="B60" s="4" t="s">
        <v>412</v>
      </c>
      <c r="C60" s="12" t="s">
        <v>413</v>
      </c>
      <c r="D60" s="12" t="s">
        <v>414</v>
      </c>
    </row>
    <row r="61" spans="2:5">
      <c r="B61" s="4" t="s">
        <v>415</v>
      </c>
      <c r="C61" s="12" t="s">
        <v>416</v>
      </c>
      <c r="D61" s="12" t="s">
        <v>417</v>
      </c>
    </row>
    <row r="62" spans="2:5">
      <c r="B62" s="4" t="s">
        <v>418</v>
      </c>
      <c r="C62" s="12" t="s">
        <v>419</v>
      </c>
      <c r="D62" s="12" t="s">
        <v>420</v>
      </c>
    </row>
    <row r="63" spans="2:5">
      <c r="B63" s="4" t="s">
        <v>421</v>
      </c>
      <c r="C63" s="12" t="s">
        <v>422</v>
      </c>
      <c r="D63" s="12" t="s">
        <v>423</v>
      </c>
    </row>
    <row r="64" spans="2:5">
      <c r="B64" s="4" t="s">
        <v>424</v>
      </c>
      <c r="C64" s="12" t="s">
        <v>425</v>
      </c>
      <c r="D64" s="12" t="s">
        <v>426</v>
      </c>
    </row>
    <row r="65" spans="2:5">
      <c r="B65" s="4" t="s">
        <v>427</v>
      </c>
      <c r="C65" s="12" t="s">
        <v>428</v>
      </c>
      <c r="D65" s="12" t="s">
        <v>429</v>
      </c>
    </row>
    <row r="66" spans="2:5">
      <c r="B66" s="4" t="s">
        <v>170</v>
      </c>
      <c r="C66" s="12" t="s">
        <v>430</v>
      </c>
      <c r="D66" s="12" t="s">
        <v>431</v>
      </c>
    </row>
    <row r="69" spans="2:5">
      <c r="B69" s="6" t="s">
        <v>432</v>
      </c>
      <c r="C69" s="6"/>
      <c r="D69" s="6"/>
      <c r="E69" s="6"/>
    </row>
  </sheetData>
  <mergeCells count="8">
    <mergeCell ref="B2:E2"/>
    <mergeCell ref="B3:E3"/>
    <mergeCell ref="B10:E10"/>
    <mergeCell ref="B25:E25"/>
    <mergeCell ref="B38:E38"/>
    <mergeCell ref="B46:E46"/>
    <mergeCell ref="B57:E57"/>
    <mergeCell ref="B69:E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Marktdaten</vt:lpstr>
      <vt:lpstr>Lilly Forecast</vt:lpstr>
      <vt:lpstr>Novo Forecast</vt:lpstr>
      <vt:lpstr>Dashboard</vt:lpstr>
      <vt:lpstr>Methodik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2026-02-12T21:57:49Z</dcterms:created>
  <dcterms:modified xsi:type="dcterms:W3CDTF">2026-02-12T21:57:49Z</dcterms:modified>
</cp:coreProperties>
</file>